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85cd90bb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c5f9c68781f4101"/>
    <x:sheet xmlns:r="http://schemas.openxmlformats.org/officeDocument/2006/relationships" name="Inventario" sheetId="2" r:id="Rcf4d2d2ec02441d9"/>
    <x:sheet xmlns:r="http://schemas.openxmlformats.org/officeDocument/2006/relationships" name="Modelo canónico" sheetId="3" r:id="R69b7164fe3534816"/>
    <x:sheet xmlns:r="http://schemas.openxmlformats.org/officeDocument/2006/relationships" name="Fuentes" sheetId="4" r:id="Rfe695a454f0e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22936"/>
      <x:name val="Carlito"/>
    </x:font>
    <x:font>
      <x:b/>
      <x:sz val="11"/>
      <x:color rgb="FFFFFFFF"/>
      <x:name val="Carlito"/>
    </x:font>
    <x:font>
      <x:sz val="10"/>
      <x:color rgb="FF222936"/>
      <x:name val="Carlito"/>
    </x:font>
    <x:font>
      <x:sz val="9"/>
      <x:color rgb="FF6B7280"/>
      <x:name val="Carlito"/>
    </x:font>
    <x:font>
      <x:b/>
      <x:sz val="20"/>
      <x:color rgb="FFFFFFFF"/>
      <x:name val="Carlito"/>
    </x:font>
    <x:font>
      <x:sz val="11"/>
      <x:color rgb="FF222936"/>
      <x:name val="Carlito"/>
    </x:font>
    <x:font>
      <x:b/>
      <x:sz val="11"/>
      <x:color rgb="FF222936"/>
      <x:name val="Carlito"/>
    </x:font>
    <x:font>
      <x:b/>
      <x:sz val="16"/>
      <x:color rgb="FF24314D"/>
      <x:name val="Carlito"/>
    </x:font>
    <x:font>
      <x:sz val="12"/>
      <x:color rgb="FF222936"/>
      <x:name val="Carlito"/>
    </x:font>
    <x:font>
      <x:b/>
      <x:sz val="11"/>
      <x:color rgb="FF2431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14D"/>
      </x:patternFill>
    </x:fill>
    <x:fill>
      <x:patternFill patternType="solid">
        <x:fgColor rgb="FFF3EEE7"/>
      </x:patternFill>
    </x:fill>
    <x:fill>
      <x:patternFill patternType="solid">
        <x:fgColor rgb="FF4169A1"/>
      </x:patternFill>
    </x:fill>
    <x:fill>
      <x:patternFill patternType="solid">
        <x:fgColor rgb="FFEAF0F7"/>
      </x:patternFill>
    </x:fill>
    <x:fill>
      <x:patternFill patternType="solid">
        <x:fgColor rgb="FFDDEFE5"/>
      </x:patternFill>
    </x:fill>
    <x:fill>
      <x:patternFill patternType="solid">
        <x:fgColor rgb="FFF7F8FA"/>
      </x:patternFill>
    </x:fill>
  </x:fills>
  <x:borders count="10">
    <x:border/>
    <x:border>
      <x:bottom style="thin">
        <x:color rgb="FFD6DAE1"/>
      </x:bottom>
    </x:border>
    <x:border>
      <x:top style="thin">
        <x:color rgb="FFD6DAE1"/>
      </x:top>
      <x:bottom style="thin">
        <x:color rgb="FFD6DAE1"/>
      </x:bottom>
    </x:border>
    <x:border>
      <x:top style="thin">
        <x:color rgb="FFD6DAE1"/>
      </x:top>
    </x:border>
    <x:border>
      <x:left style="thin">
        <x:color rgb="FFD6DAE1"/>
      </x:left>
      <x:top style="thin">
        <x:color rgb="FFD6DAE1"/>
      </x:top>
    </x:border>
    <x:border>
      <x:right style="thin">
        <x:color rgb="FFD6DAE1"/>
      </x:right>
      <x:top style="thin">
        <x:color rgb="FFD6DAE1"/>
      </x:top>
    </x:border>
    <x:border>
      <x:left style="thin">
        <x:color rgb="FFD6DAE1"/>
      </x:left>
    </x:border>
    <x:border>
      <x:right style="thin">
        <x:color rgb="FFD6DAE1"/>
      </x:right>
    </x:border>
    <x:border>
      <x:left style="thin">
        <x:color rgb="FFD6DAE1"/>
      </x:left>
      <x:bottom style="thin">
        <x:color rgb="FFD6DAE1"/>
      </x:bottom>
    </x:border>
    <x:border>
      <x:right style="thin">
        <x:color rgb="FFD6DAE1"/>
      </x:right>
      <x:bottom style="thin">
        <x:color rgb="FFD6DAE1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8" fillId="5" borderId="4" xfId="0" applyNumberFormat="1" applyFont="1" applyFill="1" applyBorder="1"/>
    <x:xf numFmtId="0" fontId="8" fillId="5" borderId="6" xfId="0" applyNumberFormat="1" applyFont="1" applyFill="1" applyBorder="1"/>
    <x:xf numFmtId="0" fontId="8" fillId="5" borderId="8" xfId="0" applyNumberFormat="1" applyFont="1" applyFill="1" applyBorder="1"/>
    <x:xf numFmtId="0" fontId="9" fillId="5" borderId="5" xfId="0" applyNumberFormat="1" applyFont="1" applyFill="1" applyBorder="1"/>
    <x:xf numFmtId="0" fontId="9" fillId="5" borderId="7" xfId="0" applyNumberFormat="1" applyFont="1" applyFill="1" applyBorder="1"/>
    <x:xf numFmtId="0" fontId="9" fillId="5" borderId="9" xfId="0" applyNumberFormat="1" applyFont="1" applyFill="1" applyBorder="1"/>
    <x:xf numFmtId="201" fontId="9" fillId="5" borderId="5" xfId="0" applyNumberFormat="1" applyFont="1" applyFill="1" applyBorder="1"/>
    <x:xf numFmtId="201" fontId="9" fillId="5" borderId="7" xfId="0" applyNumberFormat="1" applyFont="1" applyFill="1" applyBorder="1"/>
    <x:xf numFmtId="201" fontId="9" fillId="5" borderId="9" xfId="0" applyNumberFormat="1" applyFont="1" applyFill="1" applyBorder="1"/>
    <x:xf numFmtId="201" fontId="9" fillId="5" borderId="5" xfId="0" applyNumberFormat="1" applyFont="1" applyFill="1" applyBorder="1" applyAlignment="1">
      <x:alignment horizontal="right"/>
    </x:xf>
    <x:xf numFmtId="201" fontId="9" fillId="5" borderId="7" xfId="0" applyNumberFormat="1" applyFont="1" applyFill="1" applyBorder="1" applyAlignment="1">
      <x:alignment horizontal="right"/>
    </x:xf>
    <x:xf numFmtId="201" fontId="9" fillId="5" borderId="9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4" xfId="0" applyNumberFormat="1" applyFont="1" applyFill="1" applyBorder="1"/>
    <x:xf numFmtId="0" fontId="10" fillId="6" borderId="3" xfId="0" applyNumberFormat="1" applyFont="1" applyFill="1" applyBorder="1"/>
    <x:xf numFmtId="0" fontId="10" fillId="6" borderId="5" xfId="0" applyNumberFormat="1" applyFont="1" applyFill="1" applyBorder="1"/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0" fillId="6" borderId="8" xfId="0" applyNumberFormat="1" applyFont="1" applyFill="1" applyBorder="1"/>
    <x:xf numFmtId="0" fontId="10" fillId="6" borderId="1" xfId="0" applyNumberFormat="1" applyFont="1" applyFill="1" applyBorder="1"/>
    <x:xf numFmtId="0" fontId="10" fillId="6" borderId="9" xfId="0" applyNumberFormat="1" applyFont="1" applyFill="1" applyBorder="1"/>
    <x:xf numFmtId="0" fontId="10" fillId="6" borderId="4" xfId="0" applyNumberFormat="1" applyFont="1" applyFill="1" applyBorder="1" applyAlignment="1">
      <x:alignment wrapText="1"/>
    </x:xf>
    <x:xf numFmtId="0" fontId="10" fillId="6" borderId="3" xfId="0" applyNumberFormat="1" applyFont="1" applyFill="1" applyBorder="1" applyAlignment="1">
      <x:alignment wrapText="1"/>
    </x:xf>
    <x:xf numFmtId="0" fontId="10" fillId="6" borderId="5" xfId="0" applyNumberFormat="1" applyFont="1" applyFill="1" applyBorder="1" applyAlignment="1">
      <x:alignment wrapText="1"/>
    </x:xf>
    <x:xf numFmtId="0" fontId="10" fillId="6" borderId="6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6" borderId="7" xfId="0" applyNumberFormat="1" applyFont="1" applyFill="1" applyBorder="1" applyAlignment="1">
      <x:alignment wrapText="1"/>
    </x:xf>
    <x:xf numFmtId="0" fontId="10" fillId="6" borderId="8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10" fillId="6" borderId="9" xfId="0" applyNumberFormat="1" applyFont="1" applyFill="1" applyBorder="1" applyAlignment="1">
      <x:alignment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center" wrapText="1"/>
    </x:xf>
    <x:xf numFmtId="0" fontId="10" fillId="6" borderId="8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2" xfId="0" applyNumberFormat="1" applyFont="1" applyFill="1" applyBorder="1" applyAlignment="1">
      <x:alignment vertical="top" wrapText="1"/>
    </x:xf>
    <x:xf numFmtId="0" fontId="11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22936"/>
      </x:font>
      <x:fill>
        <x:patternFill patternType="solid">
          <x:bgColor rgb="FFFADCDC"/>
        </x:patternFill>
      </x:fill>
    </x:dxf>
    <x:dxf>
      <x:font>
        <x:b/>
        <x:color rgb="FF222936"/>
      </x:font>
      <x:fill>
        <x:patternFill patternType="solid">
          <x:bgColor rgb="FFFFF0C9"/>
        </x:patternFill>
      </x:fill>
    </x:dxf>
    <x:dxf>
      <x:font>
        <x:b/>
        <x:color rgb="FF222936"/>
      </x:font>
      <x:fill>
        <x:patternFill patternType="solid">
          <x:bgColor rgb="FFFADCDC"/>
        </x:patternFill>
      </x:fill>
    </x:dxf>
    <x:dxf>
      <x:font>
        <x:b/>
        <x:color rgb="FF222936"/>
      </x:font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5ccab8cb346ee" /><Relationship Type="http://schemas.openxmlformats.org/officeDocument/2006/relationships/theme" Target="/xl/theme/theme1.xml" Id="Rf3688365dfec466a" /><Relationship Type="http://schemas.openxmlformats.org/officeDocument/2006/relationships/sharedStrings" Target="/xl/sharedStrings.xml" Id="R80414ccf2a9947e3" /><Relationship Type="http://schemas.openxmlformats.org/officeDocument/2006/relationships/worksheet" Target="/xl/worksheets/sheet1.xml" Id="Rdc5f9c68781f4101" /><Relationship Type="http://schemas.openxmlformats.org/officeDocument/2006/relationships/worksheet" Target="/xl/worksheets/sheet2.xml" Id="Rcf4d2d2ec02441d9" /><Relationship Type="http://schemas.openxmlformats.org/officeDocument/2006/relationships/worksheet" Target="/xl/worksheets/sheet3.xml" Id="R69b7164fe3534816" /><Relationship Type="http://schemas.openxmlformats.org/officeDocument/2006/relationships/worksheet" Target="/xl/worksheets/sheet4.xml" Id="Rfe695a454f0e4dc6" /></Relationships>
</file>

<file path=xl/tables/table1.xml><?xml version="1.0" encoding="utf-8"?>
<x:table xmlns:x="http://schemas.openxmlformats.org/spreadsheetml/2006/main" id="1" name="InventarioAgendaTable" displayName="InventarioAgendaTable" ref="A5:N51" headerRowCount="1" totalsRowCount="0" totalsRowShown="0">
  <x:tableColumns count="14">
    <x:tableColumn id="1" name="ID fuente"/>
    <x:tableColumn id="2" name="Título"/>
    <x:tableColumn id="3" name="Fecha publicación / ficha"/>
    <x:tableColumn id="4" name="Origen"/>
    <x:tableColumn id="5" name="Recurso actual"/>
    <x:tableColumn id="6" name="Recurso canónico"/>
    <x:tableColumn id="7" name="Categorías / contexto"/>
    <x:tableColumn id="8" name="Estado local"/>
    <x:tableColumn id="9" name="Acción propuesta"/>
    <x:tableColumn id="10" name="¿Vincular a Evento?"/>
    <x:tableColumn id="11" name="Relación sin duplicar"/>
    <x:tableColumn id="12" name="Fuente"/>
    <x:tableColumn id="13" name="Observaciones"/>
    <x:tableColumn id="14" name="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oCanonicoTable" displayName="ModeloCanonicoTable" ref="A4:F8" headerRowCount="1" totalsRowCount="0" totalsRowShown="0">
  <x:tableColumns count="6">
    <x:tableColumn id="1" name="Recurso"/>
    <x:tableColumn id="2" name="Qué conserva"/>
    <x:tableColumn id="3" name="Qué no debe repetir"/>
    <x:tableColumn id="4" name="Relación propuesta"/>
    <x:tableColumn id="5" name="Cuándo se crea"/>
    <x:tableColumn id="6" name="Ejempl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ntesAgendaTable" displayName="FuentesAgendaTable" ref="A4:F9" headerRowCount="1" totalsRowCount="0" totalsRowShown="0">
  <x:tableColumns count="6">
    <x:tableColumn id="1" name="Fuente"/>
    <x:tableColumn id="2" name="Ubicación"/>
    <x:tableColumn id="3" name="Cobertura"/>
    <x:tableColumn id="4" name="Estado"/>
    <x:tableColumn id="5" name="Uso"/>
    <x:tableColumn id="6" name="Riesgo / 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553a0a398d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e23dfa5641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c185f4a7244b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37" t="str">
        <x:v>Agenda y archivo: inventario sin duplicaciones</x:v>
      </x:c>
      <x:c r="B1" s="37"/>
      <x:c r="C1" s="37"/>
      <x:c r="D1" s="37"/>
      <x:c r="E1" s="37"/>
      <x:c r="F1" s="37"/>
      <x:c r="G1" s="37"/>
      <x:c r="H1" s="37"/>
    </x:row>
    <x:row r="3" ht="42" customHeight="1">
      <x:c r="A3" s="6" t="str">
        <x:v>Objetivo: preservar todo el contenido real, definir un único dueño para cada dato y decidir los vínculos antes de crear registros Evento.</x:v>
      </x:c>
      <x:c r="B3" s="6"/>
      <x:c r="C3" s="6"/>
      <x:c r="D3" s="6"/>
      <x:c r="E3" s="6"/>
      <x:c r="F3" s="6"/>
      <x:c r="G3" s="6"/>
      <x:c r="H3" s="6"/>
    </x:row>
    <x:row r="6">
      <x:c r="A6" s="46" t="str">
        <x:v>Candidatos inventariados</x:v>
      </x:c>
      <x:c r="B6" s="55" t="n">
        <x:f>COUNTA('Inventario'!$A$6:$A$51)</x:f>
        <x:v>46</x:v>
      </x:c>
      <x:c r="D6" s="9" t="str">
        <x:v>Decisión de arquitectura</x:v>
      </x:c>
      <x:c r="E6" s="9"/>
      <x:c r="F6" s="9"/>
      <x:c r="G6" s="9"/>
      <x:c r="H6" s="9"/>
    </x:row>
    <x:row r="7" ht="28" customHeight="1">
      <x:c r="A7" s="47" t="str">
        <x:v>Crónicas de Actualidad</x:v>
      </x:c>
      <x:c r="B7" s="56" t="n">
        <x:f>COUNTIF('Inventario'!$E$6:$E$51,"Actualidad")</x:f>
        <x:v>40</x:v>
      </x:c>
      <x:c r="D7" s="77" t="str">
        <x:v>Evento es dueño de fecha, lugar, institución, rol, tipo y estado. Actualidad es dueña de la crónica y galería. Conferencia es dueña del video o intervención. Cuando coinciden, se enlazan mediante evento_id; no se copian campos ni archivos.</x:v>
      </x:c>
      <x:c r="E7" s="78"/>
      <x:c r="F7" s="78"/>
      <x:c r="G7" s="78"/>
      <x:c r="H7" s="79"/>
    </x:row>
    <x:row r="8" ht="28" customHeight="1">
      <x:c r="A8" s="47" t="str">
        <x:v>Conferencias actuales</x:v>
      </x:c>
      <x:c r="B8" s="56" t="n">
        <x:f>COUNTIF('Inventario'!$E$6:$E$51,"Conferencia")</x:f>
        <x:v>6</x:v>
      </x:c>
      <x:c r="D8" s="80"/>
      <x:c r="E8" s="81"/>
      <x:c r="F8" s="81"/>
      <x:c r="G8" s="81"/>
      <x:c r="H8" s="82"/>
    </x:row>
    <x:row r="9" ht="28" customHeight="1">
      <x:c r="A9" s="47" t="str">
        <x:v>Etiquetas a corregir</x:v>
      </x:c>
      <x:c r="B9" s="56" t="n">
        <x:f>COUNTIF('Inventario'!$H$6:$H$51,"Corregir etiqueta")</x:f>
        <x:v>1</x:v>
      </x:c>
      <x:c r="D9" s="80"/>
      <x:c r="E9" s="81"/>
      <x:c r="F9" s="81"/>
      <x:c r="G9" s="81"/>
      <x:c r="H9" s="82"/>
    </x:row>
    <x:row r="10" ht="28" customHeight="1">
      <x:c r="A10" s="48" t="str">
        <x:v>Vínculos Evento a revisar</x:v>
      </x:c>
      <x:c r="B10" s="57" t="n">
        <x:f>COUNTIF('Inventario'!$J$6:$J$51,"Revisar vínculo")</x:f>
        <x:v>26</x:v>
      </x:c>
      <x:c r="D10" s="80"/>
      <x:c r="E10" s="81"/>
      <x:c r="F10" s="81"/>
      <x:c r="G10" s="81"/>
      <x:c r="H10" s="82"/>
    </x:row>
    <x:row r="11" ht="28" customHeight="1">
      <x:c r="D11" s="83"/>
      <x:c r="E11" s="84"/>
      <x:c r="F11" s="84"/>
      <x:c r="G11" s="84"/>
      <x:c r="H11" s="85"/>
    </x:row>
    <x:row r="14">
      <x:c r="A14" s="9" t="str">
        <x:v>Orden de trabajo recomendado</x:v>
      </x:c>
      <x:c r="B14" s="9"/>
      <x:c r="C14" s="9"/>
      <x:c r="D14" s="9"/>
      <x:c r="E14" s="9"/>
      <x:c r="F14" s="9"/>
      <x:c r="G14" s="9"/>
      <x:c r="H14" s="9"/>
    </x:row>
    <x:row r="15" ht="30" customHeight="1">
      <x:c r="A15" s="100" t="str">
        <x:v>1</x:v>
      </x:c>
      <x:c r="B15" s="91" t="str">
        <x:v>Corregir la etiqueta faltante en Actualidad.</x:v>
      </x:c>
      <x:c r="C15" s="91"/>
      <x:c r="D15" s="91"/>
      <x:c r="E15" s="91"/>
      <x:c r="F15" s="91"/>
      <x:c r="G15" s="91"/>
      <x:c r="H15" s="91"/>
    </x:row>
    <x:row r="16" ht="30" customHeight="1">
      <x:c r="A16" s="101" t="str">
        <x:v>2</x:v>
      </x:c>
      <x:c r="B16" s="92" t="str">
        <x:v>Extraer la agenda pública y comparar por título, fecha e institución.</x:v>
      </x:c>
      <x:c r="C16" s="92"/>
      <x:c r="D16" s="92"/>
      <x:c r="E16" s="92"/>
      <x:c r="F16" s="92"/>
      <x:c r="G16" s="92"/>
      <x:c r="H16" s="92"/>
    </x:row>
    <x:row r="17" ht="30" customHeight="1">
      <x:c r="A17" s="101" t="str">
        <x:v>3</x:v>
      </x:c>
      <x:c r="B17" s="92" t="str">
        <x:v>Crear Evento solo cuando no exista una ficha canónica equivalente.</x:v>
      </x:c>
      <x:c r="C17" s="92"/>
      <x:c r="D17" s="92"/>
      <x:c r="E17" s="92"/>
      <x:c r="F17" s="92"/>
      <x:c r="G17" s="92"/>
      <x:c r="H17" s="92"/>
    </x:row>
    <x:row r="18" ht="30" customHeight="1">
      <x:c r="A18" s="102" t="str">
        <x:v>4</x:v>
      </x:c>
      <x:c r="B18" s="93" t="str">
        <x:v>Agregar relaciones evento_id desde Blog/Conferencia y validar la vista unificada.</x:v>
      </x:c>
      <x:c r="C18" s="93"/>
      <x:c r="D18" s="93"/>
      <x:c r="E18" s="93"/>
      <x:c r="F18" s="93"/>
      <x:c r="G18" s="93"/>
      <x:c r="H18" s="93"/>
    </x:row>
  </x:sheetData>
  <x:mergeCells>
    <x:mergeCell ref="A1:H1"/>
    <x:mergeCell ref="A3:H3"/>
    <x:mergeCell ref="D6:H6"/>
    <x:mergeCell ref="D7:H11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27" hidden="0" customWidth="1"/>
    <x:col min="8" max="8" width="18" hidden="0" customWidth="1"/>
    <x:col min="9" max="9" width="44" hidden="0" customWidth="1"/>
    <x:col min="10" max="10" width="20" hidden="0" customWidth="1"/>
    <x:col min="11" max="11" width="44" hidden="0" customWidth="1"/>
    <x:col min="12" max="12" width="38" hidden="0" customWidth="1"/>
    <x:col min="13" max="13" width="42" hidden="0" customWidth="1"/>
    <x:col min="14" max="14" width="17" hidden="0" customWidth="1"/>
  </x:cols>
  <x:sheetData>
    <x:row r="1" ht="32" customHeight="1">
      <x:c r="A1" s="3" t="str">
        <x:v>Inventario de agenda y archivo — sin duplicación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La fecha de las crónicas es la fecha de publicación. Ningún registro se transforma automáticamente en Evento sin validar la actividad real.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4" customHeight="1">
      <x:c r="A5" s="11" t="str">
        <x:v>ID fuente</x:v>
      </x:c>
      <x:c r="B5" s="11" t="str">
        <x:v>Título</x:v>
      </x:c>
      <x:c r="C5" s="11" t="str">
        <x:v>Fecha publicación / ficha</x:v>
      </x:c>
      <x:c r="D5" s="11" t="str">
        <x:v>Origen</x:v>
      </x:c>
      <x:c r="E5" s="11" t="str">
        <x:v>Recurso actual</x:v>
      </x:c>
      <x:c r="F5" s="11" t="str">
        <x:v>Recurso canónico</x:v>
      </x:c>
      <x:c r="G5" s="11" t="str">
        <x:v>Categorías / contexto</x:v>
      </x:c>
      <x:c r="H5" s="11" t="str">
        <x:v>Estado local</x:v>
      </x:c>
      <x:c r="I5" s="11" t="str">
        <x:v>Acción propuesta</x:v>
      </x:c>
      <x:c r="J5" s="11" t="str">
        <x:v>¿Vincular a Evento?</x:v>
      </x:c>
      <x:c r="K5" s="11" t="str">
        <x:v>Relación sin duplicar</x:v>
      </x:c>
      <x:c r="L5" s="11" t="str">
        <x:v>Fuente</x:v>
      </x:c>
      <x:c r="M5" s="11" t="str">
        <x:v>Observaciones</x:v>
      </x:c>
      <x:c r="N5" s="11" t="str">
        <x:v>Control</x:v>
      </x:c>
    </x:row>
    <x:row r="6" ht="54" customHeight="1">
      <x:c r="A6" s="33" t="str">
        <x:v>WP-5070</x:v>
      </x:c>
      <x:c r="B6" s="27" t="str">
        <x:v>Jornada “Primera Línea de Apoyo”</x:v>
      </x:c>
      <x:c r="C6" s="28" t="n">
        <x:v>43446.69598379629</x:v>
      </x:c>
      <x:c r="D6" s="27" t="str">
        <x:v>WordPress legacy</x:v>
      </x:c>
      <x:c r="E6" s="27" t="str">
        <x:v>Actualidad</x:v>
      </x:c>
      <x:c r="F6" s="27" t="str">
        <x:v>Actualidad</x:v>
      </x:c>
      <x:c r="G6" s="27" t="str">
        <x:v>Jornadas &amp; Congresos</x:v>
      </x:c>
      <x:c r="H6" s="27" t="str">
        <x:v>Etiquetado</x:v>
      </x:c>
      <x:c r="I6" s="27" t="str">
        <x:v>Conservar la crónica; no copiar sus datos a otro recurso</x:v>
      </x:c>
      <x:c r="J6" s="27" t="str">
        <x:v>Revisar vínculo</x:v>
      </x:c>
      <x:c r="K6" s="27" t="str">
        <x:v>Vincular a Evento únicamente si la agenda confirma que es la misma actividad</x:v>
      </x:c>
      <x:c r="L6" s="27" t="str">
        <x:v>https://marcelabasterra.com.ar/jornada-primera-linea-de-apoyo/</x:v>
      </x:c>
      <x:c r="M6" s="27" t="str">
        <x:v>La fecha corresponde a la publicación; validar la fecha real del evento</x:v>
      </x:c>
      <x:c r="N6" s="27" t="str">
        <x:f>IF(COUNTIF($B$6:$B$51,B6)&gt;1,"Título repetido","")</x:f>
      </x:c>
    </x:row>
    <x:row r="7" ht="54" customHeight="1">
      <x:c r="A7" s="34" t="str">
        <x:v>WP-5060</x:v>
      </x:c>
      <x:c r="B7" s="29" t="str">
        <x:v>La Dra. Marcela I. Basterra participó en el III Congreso Internacional de Derecho UBA y la UNAM</x:v>
      </x:c>
      <x:c r="C7" s="30" t="n">
        <x:v>43446.310208333336</x:v>
      </x:c>
      <x:c r="D7" s="29" t="str">
        <x:v>WordPress legacy</x:v>
      </x:c>
      <x:c r="E7" s="29" t="str">
        <x:v>Actualidad</x:v>
      </x:c>
      <x:c r="F7" s="29" t="str">
        <x:v>Actualidad</x:v>
      </x:c>
      <x:c r="G7" s="29" t="str">
        <x:v>Jornadas &amp; Congresos</x:v>
      </x:c>
      <x:c r="H7" s="29" t="str">
        <x:v>Etiquetado</x:v>
      </x:c>
      <x:c r="I7" s="29" t="str">
        <x:v>Conservar la crónica; no copiar sus datos a otro recurso</x:v>
      </x:c>
      <x:c r="J7" s="29" t="str">
        <x:v>Revisar vínculo</x:v>
      </x:c>
      <x:c r="K7" s="29" t="str">
        <x:v>Vincular a Evento únicamente si la agenda confirma que es la misma actividad</x:v>
      </x:c>
      <x:c r="L7" s="29" t="str">
        <x:v>https://marcelabasterra.com.ar/la-dra-marcela-i-basterra-participo-en-el-iii-congreso-internacional-de-derecho-uba-y-la-unam/</x:v>
      </x:c>
      <x:c r="M7" s="29" t="str">
        <x:v>La fecha corresponde a la publicación; validar la fecha real del evento</x:v>
      </x:c>
      <x:c r="N7" s="29" t="str">
        <x:f>IF(COUNTIF($B$6:$B$51,B7)&gt;1,"Título repetido","")</x:f>
      </x:c>
    </x:row>
    <x:row r="8" ht="54" customHeight="1">
      <x:c r="A8" s="34" t="str">
        <x:v>WP-4947</x:v>
      </x:c>
      <x:c r="B8" s="29" t="str">
        <x:v>Acceso a la Justicia y el Colectivo LGBT</x:v>
      </x:c>
      <x:c r="C8" s="30" t="n">
        <x:v>43375.05158564815</x:v>
      </x:c>
      <x:c r="D8" s="29" t="str">
        <x:v>WordPress legacy</x:v>
      </x:c>
      <x:c r="E8" s="29" t="str">
        <x:v>Actualidad</x:v>
      </x:c>
      <x:c r="F8" s="29" t="str">
        <x:v>Actualidad</x:v>
      </x:c>
      <x:c r="G8" s="29" t="str">
        <x:v>Jornadas &amp; Congresos</x:v>
      </x:c>
      <x:c r="H8" s="29" t="str">
        <x:v>Etiquetado</x:v>
      </x:c>
      <x:c r="I8" s="29" t="str">
        <x:v>Conservar la crónica; no copiar sus datos a otro recurso</x:v>
      </x:c>
      <x:c r="J8" s="29" t="str">
        <x:v>No</x:v>
      </x:c>
      <x:c r="K8" s="29" t="str">
        <x:v>Vincular a Evento únicamente si la agenda confirma que es la misma actividad</x:v>
      </x:c>
      <x:c r="L8" s="29" t="str">
        <x:v>https://marcelabasterra.com.ar/acceso-a-la-justicia-y-el-colectivo-lgbt/</x:v>
      </x:c>
      <x:c r="M8" s="29" t="str">
        <x:v>La fecha corresponde a la publicación; validar la fecha real del evento</x:v>
      </x:c>
      <x:c r="N8" s="29" t="str">
        <x:f>IF(COUNTIF($B$6:$B$51,B8)&gt;1,"Título repetido","")</x:f>
      </x:c>
    </x:row>
    <x:row r="9" ht="54" customHeight="1">
      <x:c r="A9" s="34" t="str">
        <x:v>WP-4909</x:v>
      </x:c>
      <x:c r="B9" s="29" t="str">
        <x:v>Jornada de Derecho de Acceso a la Información y Protección de Datos Personales en el Poder Judicial</x:v>
      </x:c>
      <x:c r="C9" s="30" t="n">
        <x:v>43307.98535879629</x:v>
      </x:c>
      <x:c r="D9" s="29" t="str">
        <x:v>WordPress legacy</x:v>
      </x:c>
      <x:c r="E9" s="29" t="str">
        <x:v>Actualidad</x:v>
      </x:c>
      <x:c r="F9" s="29" t="str">
        <x:v>Actualidad</x:v>
      </x:c>
      <x:c r="G9" s="29" t="str">
        <x:v>Jornadas &amp; Congresos</x:v>
      </x:c>
      <x:c r="H9" s="29" t="str">
        <x:v>Etiquetado</x:v>
      </x:c>
      <x:c r="I9" s="29" t="str">
        <x:v>Conservar la crónica; no copiar sus datos a otro recurso</x:v>
      </x:c>
      <x:c r="J9" s="29" t="str">
        <x:v>Revisar vínculo</x:v>
      </x:c>
      <x:c r="K9" s="29" t="str">
        <x:v>Vincular a Evento únicamente si la agenda confirma que es la misma actividad</x:v>
      </x:c>
      <x:c r="L9" s="29" t="str">
        <x:v>https://marcelabasterra.com.ar/jornada-de-derecho-de-acceso-a-la-informacion-y-proteccion-de-datos-personales-en-el-poder-judicial/</x:v>
      </x:c>
      <x:c r="M9" s="29" t="str">
        <x:v>La fecha corresponde a la publicación; validar la fecha real del evento</x:v>
      </x:c>
      <x:c r="N9" s="29" t="str">
        <x:f>IF(COUNTIF($B$6:$B$51,B9)&gt;1,"Título repetido","")</x:f>
      </x:c>
    </x:row>
    <x:row r="10" ht="54" customHeight="1">
      <x:c r="A10" s="34" t="str">
        <x:v>WP-4842</x:v>
      </x:c>
      <x:c r="B10" s="29" t="str">
        <x:v>Mesa de trabajo en el marco “Mecanismos de resolución de conflictos en las relaciones de consumo”</x:v>
      </x:c>
      <x:c r="C10" s="30" t="n">
        <x:v>43283.9462037037</x:v>
      </x:c>
      <x:c r="D10" s="29" t="str">
        <x:v>WordPress legacy</x:v>
      </x:c>
      <x:c r="E10" s="29" t="str">
        <x:v>Actualidad</x:v>
      </x:c>
      <x:c r="F10" s="29" t="str">
        <x:v>Actualidad</x:v>
      </x:c>
      <x:c r="G10" s="29" t="str">
        <x:v>Jornadas &amp; Congresos</x:v>
      </x:c>
      <x:c r="H10" s="29" t="str">
        <x:v>Etiquetado</x:v>
      </x:c>
      <x:c r="I10" s="29" t="str">
        <x:v>Conservar la crónica; no copiar sus datos a otro recurso</x:v>
      </x:c>
      <x:c r="J10" s="29" t="str">
        <x:v>No</x:v>
      </x:c>
      <x:c r="K10" s="29" t="str">
        <x:v>Vincular a Evento únicamente si la agenda confirma que es la misma actividad</x:v>
      </x:c>
      <x:c r="L10" s="29" t="str">
        <x:v>https://marcelabasterra.com.ar/mesa-de-trabajo-en-el-marco-mecanismos-de-resolucion-de-conflictos-en-las-relaciones-de-consumo/</x:v>
      </x:c>
      <x:c r="M10" s="29" t="str">
        <x:v>La fecha corresponde a la publicación; validar la fecha real del evento</x:v>
      </x:c>
      <x:c r="N10" s="29" t="str">
        <x:f>IF(COUNTIF($B$6:$B$51,B10)&gt;1,"Título repetido","")</x:f>
      </x:c>
    </x:row>
    <x:row r="11" ht="54" customHeight="1">
      <x:c r="A11" s="34" t="str">
        <x:v>WP-4754</x:v>
      </x:c>
      <x:c r="B11" s="29" t="str">
        <x:v>La Dra. Marcela I. Basterra participó en la Jornada de Ética Judicial</x:v>
      </x:c>
      <x:c r="C11" s="30" t="n">
        <x:v>43279.548784722225</x:v>
      </x:c>
      <x:c r="D11" s="29" t="str">
        <x:v>WordPress legacy</x:v>
      </x:c>
      <x:c r="E11" s="29" t="str">
        <x:v>Actualidad</x:v>
      </x:c>
      <x:c r="F11" s="29" t="str">
        <x:v>Actualidad</x:v>
      </x:c>
      <x:c r="G11" s="29" t="str">
        <x:v>Jornadas &amp; Congresos</x:v>
      </x:c>
      <x:c r="H11" s="29" t="str">
        <x:v>Etiquetado</x:v>
      </x:c>
      <x:c r="I11" s="29" t="str">
        <x:v>Conservar la crónica; no copiar sus datos a otro recurso</x:v>
      </x:c>
      <x:c r="J11" s="29" t="str">
        <x:v>Revisar vínculo</x:v>
      </x:c>
      <x:c r="K11" s="29" t="str">
        <x:v>Vincular a Evento únicamente si la agenda confirma que es la misma actividad</x:v>
      </x:c>
      <x:c r="L11" s="29" t="str">
        <x:v>https://marcelabasterra.com.ar/la-dra-marcela-i-basterra-participo-en-la-jornada-de-etica-judicial/</x:v>
      </x:c>
      <x:c r="M11" s="29" t="str">
        <x:v>La fecha corresponde a la publicación; validar la fecha real del evento</x:v>
      </x:c>
      <x:c r="N11" s="29" t="str">
        <x:f>IF(COUNTIF($B$6:$B$51,B11)&gt;1,"Título repetido","")</x:f>
      </x:c>
    </x:row>
    <x:row r="12" ht="54" customHeight="1">
      <x:c r="A12" s="34" t="str">
        <x:v>WP-4783</x:v>
      </x:c>
      <x:c r="B12" s="29" t="str">
        <x:v>Jornada “La creación del fuero en las relaciones de consumo”</x:v>
      </x:c>
      <x:c r="C12" s="30" t="n">
        <x:v>43279.521458333336</x:v>
      </x:c>
      <x:c r="D12" s="29" t="str">
        <x:v>WordPress legacy</x:v>
      </x:c>
      <x:c r="E12" s="29" t="str">
        <x:v>Actualidad</x:v>
      </x:c>
      <x:c r="F12" s="29" t="str">
        <x:v>Actualidad</x:v>
      </x:c>
      <x:c r="G12" s="29" t="str">
        <x:v>Jornadas &amp; Congresos</x:v>
      </x:c>
      <x:c r="H12" s="29" t="str">
        <x:v>Etiquetado</x:v>
      </x:c>
      <x:c r="I12" s="29" t="str">
        <x:v>Conservar la crónica; no copiar sus datos a otro recurso</x:v>
      </x:c>
      <x:c r="J12" s="29" t="str">
        <x:v>Revisar vínculo</x:v>
      </x:c>
      <x:c r="K12" s="29" t="str">
        <x:v>Vincular a Evento únicamente si la agenda confirma que es la misma actividad</x:v>
      </x:c>
      <x:c r="L12" s="29" t="str">
        <x:v>https://marcelabasterra.com.ar/jornada-la-creacion-del-fuero-en-las-relaciones-de-consumo/</x:v>
      </x:c>
      <x:c r="M12" s="29" t="str">
        <x:v>La fecha corresponde a la publicación; validar la fecha real del evento</x:v>
      </x:c>
      <x:c r="N12" s="29" t="str">
        <x:f>IF(COUNTIF($B$6:$B$51,B12)&gt;1,"Título repetido","")</x:f>
      </x:c>
    </x:row>
    <x:row r="13" ht="54" customHeight="1">
      <x:c r="A13" s="34" t="str">
        <x:v>WP-4790</x:v>
      </x:c>
      <x:c r="B13" s="29" t="str">
        <x:v>Objetivo de Desarrollo Sostenible 16</x:v>
      </x:c>
      <x:c r="C13" s="30" t="n">
        <x:v>43279.51393518518</x:v>
      </x:c>
      <x:c r="D13" s="29" t="str">
        <x:v>WordPress legacy</x:v>
      </x:c>
      <x:c r="E13" s="29" t="str">
        <x:v>Actualidad</x:v>
      </x:c>
      <x:c r="F13" s="29" t="str">
        <x:v>Actualidad</x:v>
      </x:c>
      <x:c r="G13" s="29" t="str">
        <x:v>Jornadas &amp; Congresos</x:v>
      </x:c>
      <x:c r="H13" s="29" t="str">
        <x:v>Etiquetado</x:v>
      </x:c>
      <x:c r="I13" s="29" t="str">
        <x:v>Conservar la crónica; no copiar sus datos a otro recurso</x:v>
      </x:c>
      <x:c r="J13" s="29" t="str">
        <x:v>No</x:v>
      </x:c>
      <x:c r="K13" s="29" t="str">
        <x:v>Vincular a Evento únicamente si la agenda confirma que es la misma actividad</x:v>
      </x:c>
      <x:c r="L13" s="29" t="str">
        <x:v>https://marcelabasterra.com.ar/objetivo-de-desarrollo-sostenible-16/</x:v>
      </x:c>
      <x:c r="M13" s="29" t="str">
        <x:v>La fecha corresponde a la publicación; validar la fecha real del evento</x:v>
      </x:c>
      <x:c r="N13" s="29" t="str">
        <x:f>IF(COUNTIF($B$6:$B$51,B13)&gt;1,"Título repetido","")</x:f>
      </x:c>
    </x:row>
    <x:row r="14" ht="54" customHeight="1">
      <x:c r="A14" s="34" t="str">
        <x:v>WP-4797</x:v>
      </x:c>
      <x:c r="B14" s="29" t="str">
        <x:v>Jornada sobre Ejecución Penal</x:v>
      </x:c>
      <x:c r="C14" s="30" t="n">
        <x:v>43279.50702546296</x:v>
      </x:c>
      <x:c r="D14" s="29" t="str">
        <x:v>WordPress legacy</x:v>
      </x:c>
      <x:c r="E14" s="29" t="str">
        <x:v>Actualidad</x:v>
      </x:c>
      <x:c r="F14" s="29" t="str">
        <x:v>Actualidad</x:v>
      </x:c>
      <x:c r="G14" s="29" t="str">
        <x:v>Jornadas &amp; Congresos</x:v>
      </x:c>
      <x:c r="H14" s="29" t="str">
        <x:v>Etiquetado</x:v>
      </x:c>
      <x:c r="I14" s="29" t="str">
        <x:v>Conservar la crónica; no copiar sus datos a otro recurso</x:v>
      </x:c>
      <x:c r="J14" s="29" t="str">
        <x:v>Revisar vínculo</x:v>
      </x:c>
      <x:c r="K14" s="29" t="str">
        <x:v>Vincular a Evento únicamente si la agenda confirma que es la misma actividad</x:v>
      </x:c>
      <x:c r="L14" s="29" t="str">
        <x:v>https://marcelabasterra.com.ar/jornada-sobre-ejecucion-penal/</x:v>
      </x:c>
      <x:c r="M14" s="29" t="str">
        <x:v>La fecha corresponde a la publicación; validar la fecha real del evento</x:v>
      </x:c>
      <x:c r="N14" s="29" t="str">
        <x:f>IF(COUNTIF($B$6:$B$51,B14)&gt;1,"Título repetido","")</x:f>
      </x:c>
    </x:row>
    <x:row r="15" ht="54" customHeight="1">
      <x:c r="A15" s="34" t="str">
        <x:v>WP-4594</x:v>
      </x:c>
      <x:c r="B15" s="29" t="str">
        <x:v>Jornada sobre Género y Justicia</x:v>
      </x:c>
      <x:c r="C15" s="30" t="n">
        <x:v>43222.1641087963</x:v>
      </x:c>
      <x:c r="D15" s="29" t="str">
        <x:v>WordPress legacy</x:v>
      </x:c>
      <x:c r="E15" s="29" t="str">
        <x:v>Actualidad</x:v>
      </x:c>
      <x:c r="F15" s="29" t="str">
        <x:v>Actualidad</x:v>
      </x:c>
      <x:c r="G15" s="29" t="str">
        <x:v>Jornadas &amp; Congresos</x:v>
      </x:c>
      <x:c r="H15" s="29" t="str">
        <x:v>Etiquetado</x:v>
      </x:c>
      <x:c r="I15" s="29" t="str">
        <x:v>Conservar la crónica; no copiar sus datos a otro recurso</x:v>
      </x:c>
      <x:c r="J15" s="29" t="str">
        <x:v>Revisar vínculo</x:v>
      </x:c>
      <x:c r="K15" s="29" t="str">
        <x:v>Vincular a Evento únicamente si la agenda confirma que es la misma actividad</x:v>
      </x:c>
      <x:c r="L15" s="29" t="str">
        <x:v>https://marcelabasterra.com.ar/jornada-sobre-genero-y-justicia/</x:v>
      </x:c>
      <x:c r="M15" s="29" t="str">
        <x:v>La fecha corresponde a la publicación; validar la fecha real del evento</x:v>
      </x:c>
      <x:c r="N15" s="29" t="str">
        <x:f>IF(COUNTIF($B$6:$B$51,B15)&gt;1,"Título repetido","")</x:f>
      </x:c>
    </x:row>
    <x:row r="16" ht="54" customHeight="1">
      <x:c r="A16" s="34" t="str">
        <x:v>WP-4360</x:v>
      </x:c>
      <x:c r="B16" s="29" t="str">
        <x:v>Palabras para la Igualdad / Día Internacional de la Mujer</x:v>
      </x:c>
      <x:c r="C16" s="30" t="n">
        <x:v>43154.07832175926</x:v>
      </x:c>
      <x:c r="D16" s="29" t="str">
        <x:v>WordPress legacy</x:v>
      </x:c>
      <x:c r="E16" s="29" t="str">
        <x:v>Actualidad</x:v>
      </x:c>
      <x:c r="F16" s="29" t="str">
        <x:v>Actualidad</x:v>
      </x:c>
      <x:c r="G16" s="29" t="str">
        <x:v>Jornadas &amp; Congresos</x:v>
      </x:c>
      <x:c r="H16" s="29" t="str">
        <x:v>Etiquetado</x:v>
      </x:c>
      <x:c r="I16" s="29" t="str">
        <x:v>Conservar la crónica; no copiar sus datos a otro recurso</x:v>
      </x:c>
      <x:c r="J16" s="29" t="str">
        <x:v>No</x:v>
      </x:c>
      <x:c r="K16" s="29" t="str">
        <x:v>Vincular a Evento únicamente si la agenda confirma que es la misma actividad</x:v>
      </x:c>
      <x:c r="L16" s="29" t="str">
        <x:v>https://marcelabasterra.com.ar/palabras-para-la-igualdad-dia-internacional-de-la-mujer-2/</x:v>
      </x:c>
      <x:c r="M16" s="29" t="str">
        <x:v>La fecha corresponde a la publicación; validar la fecha real del evento</x:v>
      </x:c>
      <x:c r="N16" s="29" t="str">
        <x:f>IF(COUNTIF($B$6:$B$51,B16)&gt;1,"Título repetido","")</x:f>
      </x:c>
    </x:row>
    <x:row r="17" ht="54" customHeight="1">
      <x:c r="A17" s="34" t="str">
        <x:v>WP-3885</x:v>
      </x:c>
      <x:c r="B17" s="29" t="str">
        <x:v>Jornada: “Desafíos actuales del sistema adversarial en la CABA”</x:v>
      </x:c>
      <x:c r="C17" s="30" t="n">
        <x:v>42983.03734953704</x:v>
      </x:c>
      <x:c r="D17" s="29" t="str">
        <x:v>WordPress legacy</x:v>
      </x:c>
      <x:c r="E17" s="29" t="str">
        <x:v>Actualidad</x:v>
      </x:c>
      <x:c r="F17" s="29" t="str">
        <x:v>Actualidad</x:v>
      </x:c>
      <x:c r="G17" s="29" t="str">
        <x:v>Jornadas &amp; Congresos</x:v>
      </x:c>
      <x:c r="H17" s="29" t="str">
        <x:v>Etiquetado</x:v>
      </x:c>
      <x:c r="I17" s="29" t="str">
        <x:v>Conservar la crónica; no copiar sus datos a otro recurso</x:v>
      </x:c>
      <x:c r="J17" s="29" t="str">
        <x:v>Revisar vínculo</x:v>
      </x:c>
      <x:c r="K17" s="29" t="str">
        <x:v>Vincular a Evento únicamente si la agenda confirma que es la misma actividad</x:v>
      </x:c>
      <x:c r="L17" s="29" t="str">
        <x:v>https://marcelabasterra.com.ar/jornada-desafios-actuales-del-sistema-adversarial-en-la-caba/</x:v>
      </x:c>
      <x:c r="M17" s="29" t="str">
        <x:v>La fecha corresponde a la publicación; validar la fecha real del evento</x:v>
      </x:c>
      <x:c r="N17" s="29" t="str">
        <x:f>IF(COUNTIF($B$6:$B$51,B17)&gt;1,"Título repetido","")</x:f>
      </x:c>
    </x:row>
    <x:row r="18" ht="54" customHeight="1">
      <x:c r="A18" s="34" t="str">
        <x:v>WP-3829</x:v>
      </x:c>
      <x:c r="B18" s="29" t="str">
        <x:v>El Consejo firma un convenio con el Ministerio de Educación de CABA para la difusión de Derechos</x:v>
      </x:c>
      <x:c r="C18" s="30" t="n">
        <x:v>42969.94474537037</x:v>
      </x:c>
      <x:c r="D18" s="29" t="str">
        <x:v>WordPress legacy</x:v>
      </x:c>
      <x:c r="E18" s="29" t="str">
        <x:v>Actualidad</x:v>
      </x:c>
      <x:c r="F18" s="29" t="str">
        <x:v>Actualidad</x:v>
      </x:c>
      <x:c r="G18" s="29" t="str">
        <x:v>Jornadas &amp; Congresos · Noticias · Programas</x:v>
      </x:c>
      <x:c r="H18" s="29" t="str">
        <x:v>Corregir etiqueta</x:v>
      </x:c>
      <x:c r="I18" s="29" t="str">
        <x:v>Agregar etiqueta Jornadas &amp; Congresos; conservar como una sola crónica</x:v>
      </x:c>
      <x:c r="J18" s="29" t="str">
        <x:v>No</x:v>
      </x:c>
      <x:c r="K18" s="29" t="str">
        <x:v>Vincular a Evento únicamente si la agenda confirma que es la misma actividad</x:v>
      </x:c>
      <x:c r="L18" s="29" t="str">
        <x:v>https://marcelabasterra.com.ar/el-consejo-firma-un-convenio-con-el-ministerio-de-educacion-de-caba-para-la-difusion-de-derechos/</x:v>
      </x:c>
      <x:c r="M18" s="29" t="str">
        <x:v>En el CMS figura solo con: Noticias</x:v>
      </x:c>
      <x:c r="N18" s="29" t="str">
        <x:f>IF(COUNTIF($B$6:$B$51,B18)&gt;1,"Título repetido","")</x:f>
      </x:c>
    </x:row>
    <x:row r="19" ht="54" customHeight="1">
      <x:c r="A19" s="34" t="str">
        <x:v>WP-3732</x:v>
      </x:c>
      <x:c r="B19" s="29" t="str">
        <x:v>Primeras Jornadas de Derecho Administrativo Municipal en Cardales</x:v>
      </x:c>
      <x:c r="C19" s="30" t="n">
        <x:v>42959.10631944444</x:v>
      </x:c>
      <x:c r="D19" s="29" t="str">
        <x:v>WordPress legacy</x:v>
      </x:c>
      <x:c r="E19" s="29" t="str">
        <x:v>Actualidad</x:v>
      </x:c>
      <x:c r="F19" s="29" t="str">
        <x:v>Actualidad</x:v>
      </x:c>
      <x:c r="G19" s="29" t="str">
        <x:v>Jornadas &amp; Congresos</x:v>
      </x:c>
      <x:c r="H19" s="29" t="str">
        <x:v>Etiquetado</x:v>
      </x:c>
      <x:c r="I19" s="29" t="str">
        <x:v>Conservar la crónica; no copiar sus datos a otro recurso</x:v>
      </x:c>
      <x:c r="J19" s="29" t="str">
        <x:v>Revisar vínculo</x:v>
      </x:c>
      <x:c r="K19" s="29" t="str">
        <x:v>Vincular a Evento únicamente si la agenda confirma que es la misma actividad</x:v>
      </x:c>
      <x:c r="L19" s="29" t="str">
        <x:v>https://marcelabasterra.com.ar/primeras-jornadas-de-derecho-administrativo-municipal-en-cardales/</x:v>
      </x:c>
      <x:c r="M19" s="29" t="str">
        <x:v>La fecha corresponde a la publicación; validar la fecha real del evento</x:v>
      </x:c>
      <x:c r="N19" s="29" t="str">
        <x:f>IF(COUNTIF($B$6:$B$51,B19)&gt;1,"Título repetido","")</x:f>
      </x:c>
    </x:row>
    <x:row r="20" ht="54" customHeight="1">
      <x:c r="A20" s="34" t="str">
        <x:v>WP-3704</x:v>
      </x:c>
      <x:c r="B20" s="29" t="str">
        <x:v>III Jornadas Internacionales de Justicia Penal Juvenil: La interdisciplina como herramienta judicial</x:v>
      </x:c>
      <x:c r="C20" s="30" t="n">
        <x:v>42959.04650462963</x:v>
      </x:c>
      <x:c r="D20" s="29" t="str">
        <x:v>WordPress legacy</x:v>
      </x:c>
      <x:c r="E20" s="29" t="str">
        <x:v>Actualidad</x:v>
      </x:c>
      <x:c r="F20" s="29" t="str">
        <x:v>Actualidad</x:v>
      </x:c>
      <x:c r="G20" s="29" t="str">
        <x:v>Jornadas &amp; Congresos</x:v>
      </x:c>
      <x:c r="H20" s="29" t="str">
        <x:v>Etiquetado</x:v>
      </x:c>
      <x:c r="I20" s="29" t="str">
        <x:v>Conservar la crónica; no copiar sus datos a otro recurso</x:v>
      </x:c>
      <x:c r="J20" s="29" t="str">
        <x:v>Revisar vínculo</x:v>
      </x:c>
      <x:c r="K20" s="29" t="str">
        <x:v>Vincular a Evento únicamente si la agenda confirma que es la misma actividad</x:v>
      </x:c>
      <x:c r="L20" s="29" t="str">
        <x:v>https://marcelabasterra.com.ar/iii-jornadas-internacionales-de-justicia-penal-juvenil-la-interdisciplina-como-herramienta-judicial-2/</x:v>
      </x:c>
      <x:c r="M20" s="29" t="str">
        <x:v>La fecha corresponde a la publicación; validar la fecha real del evento</x:v>
      </x:c>
      <x:c r="N20" s="29" t="str">
        <x:f>IF(COUNTIF($B$6:$B$51,B20)&gt;1,"Título repetido","")</x:f>
      </x:c>
    </x:row>
    <x:row r="21" ht="54" customHeight="1">
      <x:c r="A21" s="34" t="str">
        <x:v>WP-3499</x:v>
      </x:c>
      <x:c r="B21" s="29" t="str">
        <x:v>Inauguración Posgrado Derechos Políticos y Electorales, Facultad de Derecho</x:v>
      </x:c>
      <x:c r="C21" s="30" t="n">
        <x:v>42933.90621527778</x:v>
      </x:c>
      <x:c r="D21" s="29" t="str">
        <x:v>WordPress legacy</x:v>
      </x:c>
      <x:c r="E21" s="29" t="str">
        <x:v>Actualidad</x:v>
      </x:c>
      <x:c r="F21" s="29" t="str">
        <x:v>Actualidad</x:v>
      </x:c>
      <x:c r="G21" s="29" t="str">
        <x:v>Jornadas &amp; Congresos</x:v>
      </x:c>
      <x:c r="H21" s="29" t="str">
        <x:v>Etiquetado</x:v>
      </x:c>
      <x:c r="I21" s="29" t="str">
        <x:v>Conservar la crónica; no copiar sus datos a otro recurso</x:v>
      </x:c>
      <x:c r="J21" s="29" t="str">
        <x:v>No</x:v>
      </x:c>
      <x:c r="K21" s="29" t="str">
        <x:v>Vincular a Evento únicamente si la agenda confirma que es la misma actividad</x:v>
      </x:c>
      <x:c r="L21" s="29" t="str">
        <x:v>https://marcelabasterra.com.ar/inauguracion-posgrado-derechos-politicos-y-electorales-facultad-de-derecho/</x:v>
      </x:c>
      <x:c r="M21" s="29" t="str">
        <x:v>La fecha corresponde a la publicación; validar la fecha real del evento</x:v>
      </x:c>
      <x:c r="N21" s="29" t="str">
        <x:f>IF(COUNTIF($B$6:$B$51,B21)&gt;1,"Título repetido","")</x:f>
      </x:c>
    </x:row>
    <x:row r="22" ht="54" customHeight="1">
      <x:c r="A22" s="34" t="str">
        <x:v>WP-3473</x:v>
      </x:c>
      <x:c r="B22" s="29" t="str">
        <x:v>Distinción a la Dra. Mabel Bianco, una feminista incansable</x:v>
      </x:c>
      <x:c r="C22" s="30" t="n">
        <x:v>42933.87741898148</x:v>
      </x:c>
      <x:c r="D22" s="29" t="str">
        <x:v>WordPress legacy</x:v>
      </x:c>
      <x:c r="E22" s="29" t="str">
        <x:v>Actualidad</x:v>
      </x:c>
      <x:c r="F22" s="29" t="str">
        <x:v>Actualidad</x:v>
      </x:c>
      <x:c r="G22" s="29" t="str">
        <x:v>Jornadas &amp; Congresos</x:v>
      </x:c>
      <x:c r="H22" s="29" t="str">
        <x:v>Etiquetado</x:v>
      </x:c>
      <x:c r="I22" s="29" t="str">
        <x:v>Conservar la crónica; no copiar sus datos a otro recurso</x:v>
      </x:c>
      <x:c r="J22" s="29" t="str">
        <x:v>No</x:v>
      </x:c>
      <x:c r="K22" s="29" t="str">
        <x:v>Vincular a Evento únicamente si la agenda confirma que es la misma actividad</x:v>
      </x:c>
      <x:c r="L22" s="29" t="str">
        <x:v>https://marcelabasterra.com.ar/distincion-a-la-dra-mabel-bianco-una-feminista-incansable/</x:v>
      </x:c>
      <x:c r="M22" s="29" t="str">
        <x:v>La fecha corresponde a la publicación; validar la fecha real del evento</x:v>
      </x:c>
      <x:c r="N22" s="29" t="str">
        <x:f>IF(COUNTIF($B$6:$B$51,B22)&gt;1,"Título repetido","")</x:f>
      </x:c>
    </x:row>
    <x:row r="23" ht="54" customHeight="1">
      <x:c r="A23" s="34" t="str">
        <x:v>WP-3446</x:v>
      </x:c>
      <x:c r="B23" s="29" t="str">
        <x:v>Jornadas sobre “Poder Judicial y Justicia Transicional”</x:v>
      </x:c>
      <x:c r="C23" s="30" t="n">
        <x:v>42916.991527777776</x:v>
      </x:c>
      <x:c r="D23" s="29" t="str">
        <x:v>WordPress legacy</x:v>
      </x:c>
      <x:c r="E23" s="29" t="str">
        <x:v>Actualidad</x:v>
      </x:c>
      <x:c r="F23" s="29" t="str">
        <x:v>Actualidad</x:v>
      </x:c>
      <x:c r="G23" s="29" t="str">
        <x:v>Jornadas &amp; Congresos</x:v>
      </x:c>
      <x:c r="H23" s="29" t="str">
        <x:v>Etiquetado</x:v>
      </x:c>
      <x:c r="I23" s="29" t="str">
        <x:v>Conservar la crónica; no copiar sus datos a otro recurso</x:v>
      </x:c>
      <x:c r="J23" s="29" t="str">
        <x:v>Revisar vínculo</x:v>
      </x:c>
      <x:c r="K23" s="29" t="str">
        <x:v>Vincular a Evento únicamente si la agenda confirma que es la misma actividad</x:v>
      </x:c>
      <x:c r="L23" s="29" t="str">
        <x:v>https://marcelabasterra.com.ar/jornadas-sobre-poder-judicial-y-justicia-transicional/</x:v>
      </x:c>
      <x:c r="M23" s="29" t="str">
        <x:v>La fecha corresponde a la publicación; validar la fecha real del evento</x:v>
      </x:c>
      <x:c r="N23" s="29" t="str">
        <x:f>IF(COUNTIF($B$6:$B$51,B23)&gt;1,"Título repetido","")</x:f>
      </x:c>
    </x:row>
    <x:row r="24" ht="54" customHeight="1">
      <x:c r="A24" s="34" t="str">
        <x:v>WP-3436</x:v>
      </x:c>
      <x:c r="B24" s="29" t="str">
        <x:v>“Los Instrumentos Jurídicos e Institucionales de Lucha contra la Corrupción”</x:v>
      </x:c>
      <x:c r="C24" s="30" t="n">
        <x:v>42916.974814814814</x:v>
      </x:c>
      <x:c r="D24" s="29" t="str">
        <x:v>WordPress legacy</x:v>
      </x:c>
      <x:c r="E24" s="29" t="str">
        <x:v>Actualidad</x:v>
      </x:c>
      <x:c r="F24" s="29" t="str">
        <x:v>Actualidad</x:v>
      </x:c>
      <x:c r="G24" s="29" t="str">
        <x:v>Jornadas &amp; Congresos</x:v>
      </x:c>
      <x:c r="H24" s="29" t="str">
        <x:v>Etiquetado</x:v>
      </x:c>
      <x:c r="I24" s="29" t="str">
        <x:v>Conservar la crónica; no copiar sus datos a otro recurso</x:v>
      </x:c>
      <x:c r="J24" s="29" t="str">
        <x:v>No</x:v>
      </x:c>
      <x:c r="K24" s="29" t="str">
        <x:v>Vincular a Evento únicamente si la agenda confirma que es la misma actividad</x:v>
      </x:c>
      <x:c r="L24" s="29" t="str">
        <x:v>https://marcelabasterra.com.ar/los-instrumentos-juridicos-e-institucionales-de-lucha-contra-la-corrupcion-2/</x:v>
      </x:c>
      <x:c r="M24" s="29" t="str">
        <x:v>La fecha corresponde a la publicación; validar la fecha real del evento</x:v>
      </x:c>
      <x:c r="N24" s="29" t="str">
        <x:f>IF(COUNTIF($B$6:$B$51,B24)&gt;1,"Título repetido","")</x:f>
      </x:c>
    </x:row>
    <x:row r="25" ht="54" customHeight="1">
      <x:c r="A25" s="34" t="str">
        <x:v>WP-3337</x:v>
      </x:c>
      <x:c r="B25" s="29" t="str">
        <x:v>Jornada de Género en la Feria Internacional del Libro 2017</x:v>
      </x:c>
      <x:c r="C25" s="30" t="n">
        <x:v>42880.11560185185</x:v>
      </x:c>
      <x:c r="D25" s="29" t="str">
        <x:v>WordPress legacy</x:v>
      </x:c>
      <x:c r="E25" s="29" t="str">
        <x:v>Actualidad</x:v>
      </x:c>
      <x:c r="F25" s="29" t="str">
        <x:v>Actualidad</x:v>
      </x:c>
      <x:c r="G25" s="29" t="str">
        <x:v>Jornadas &amp; Congresos</x:v>
      </x:c>
      <x:c r="H25" s="29" t="str">
        <x:v>Etiquetado</x:v>
      </x:c>
      <x:c r="I25" s="29" t="str">
        <x:v>Conservar la crónica; no copiar sus datos a otro recurso</x:v>
      </x:c>
      <x:c r="J25" s="29" t="str">
        <x:v>Revisar vínculo</x:v>
      </x:c>
      <x:c r="K25" s="29" t="str">
        <x:v>Vincular a Evento únicamente si la agenda confirma que es la misma actividad</x:v>
      </x:c>
      <x:c r="L25" s="29" t="str">
        <x:v>https://marcelabasterra.com.ar/jornada-de-genero-en-la-feria-internacional-del-libro-2017/</x:v>
      </x:c>
      <x:c r="M25" s="29" t="str">
        <x:v>La fecha corresponde a la publicación; validar la fecha real del evento</x:v>
      </x:c>
      <x:c r="N25" s="29" t="str">
        <x:f>IF(COUNTIF($B$6:$B$51,B25)&gt;1,"Título repetido","")</x:f>
      </x:c>
    </x:row>
    <x:row r="26" ht="54" customHeight="1">
      <x:c r="A26" s="34" t="str">
        <x:v>WP-3327</x:v>
      </x:c>
      <x:c r="B26" s="29" t="str">
        <x:v>Acceso a la Justicia en la Feria del Libro 2017</x:v>
      </x:c>
      <x:c r="C26" s="30" t="n">
        <x:v>42880.09905092593</x:v>
      </x:c>
      <x:c r="D26" s="29" t="str">
        <x:v>WordPress legacy</x:v>
      </x:c>
      <x:c r="E26" s="29" t="str">
        <x:v>Actualidad</x:v>
      </x:c>
      <x:c r="F26" s="29" t="str">
        <x:v>Actualidad</x:v>
      </x:c>
      <x:c r="G26" s="29" t="str">
        <x:v>Jornadas &amp; Congresos</x:v>
      </x:c>
      <x:c r="H26" s="29" t="str">
        <x:v>Etiquetado</x:v>
      </x:c>
      <x:c r="I26" s="29" t="str">
        <x:v>Conservar la crónica; no copiar sus datos a otro recurso</x:v>
      </x:c>
      <x:c r="J26" s="29" t="str">
        <x:v>Revisar vínculo</x:v>
      </x:c>
      <x:c r="K26" s="29" t="str">
        <x:v>Vincular a Evento únicamente si la agenda confirma que es la misma actividad</x:v>
      </x:c>
      <x:c r="L26" s="29" t="str">
        <x:v>https://marcelabasterra.com.ar/acceso-a-la-justicia-en-la-feria-del-libro-2017/</x:v>
      </x:c>
      <x:c r="M26" s="29" t="str">
        <x:v>La fecha corresponde a la publicación; validar la fecha real del evento</x:v>
      </x:c>
      <x:c r="N26" s="29" t="str">
        <x:f>IF(COUNTIF($B$6:$B$51,B26)&gt;1,"Título repetido","")</x:f>
      </x:c>
    </x:row>
    <x:row r="27" ht="54" customHeight="1">
      <x:c r="A27" s="34" t="str">
        <x:v>WP-3260</x:v>
      </x:c>
      <x:c r="B27" s="29" t="str">
        <x:v>DialogandoBA y la implementación de la nueva Ley 104</x:v>
      </x:c>
      <x:c r="C27" s="30" t="n">
        <x:v>42879.31732638889</x:v>
      </x:c>
      <x:c r="D27" s="29" t="str">
        <x:v>WordPress legacy</x:v>
      </x:c>
      <x:c r="E27" s="29" t="str">
        <x:v>Actualidad</x:v>
      </x:c>
      <x:c r="F27" s="29" t="str">
        <x:v>Actualidad</x:v>
      </x:c>
      <x:c r="G27" s="29" t="str">
        <x:v>Jornadas &amp; Congresos</x:v>
      </x:c>
      <x:c r="H27" s="29" t="str">
        <x:v>Etiquetado</x:v>
      </x:c>
      <x:c r="I27" s="29" t="str">
        <x:v>Conservar la crónica; no copiar sus datos a otro recurso</x:v>
      </x:c>
      <x:c r="J27" s="29" t="str">
        <x:v>No</x:v>
      </x:c>
      <x:c r="K27" s="29" t="str">
        <x:v>Vincular a Evento únicamente si la agenda confirma que es la misma actividad</x:v>
      </x:c>
      <x:c r="L27" s="29" t="str">
        <x:v>https://marcelabasterra.com.ar/dialogandoba-y-la-implementacion-de-la-nueva-ley-104/</x:v>
      </x:c>
      <x:c r="M27" s="29" t="str">
        <x:v>La fecha corresponde a la publicación; validar la fecha real del evento</x:v>
      </x:c>
      <x:c r="N27" s="29" t="str">
        <x:f>IF(COUNTIF($B$6:$B$51,B27)&gt;1,"Título repetido","")</x:f>
      </x:c>
    </x:row>
    <x:row r="28" ht="54" customHeight="1">
      <x:c r="A28" s="34" t="str">
        <x:v>WP-3257</x:v>
      </x:c>
      <x:c r="B28" s="29" t="str">
        <x:v>Transferencia de la Justicia Penal Ordinaria en el Proceso de Autonomía de la CABA. Feria del Libro 2017</x:v>
      </x:c>
      <x:c r="C28" s="30" t="n">
        <x:v>42879.311423611114</x:v>
      </x:c>
      <x:c r="D28" s="29" t="str">
        <x:v>WordPress legacy</x:v>
      </x:c>
      <x:c r="E28" s="29" t="str">
        <x:v>Actualidad</x:v>
      </x:c>
      <x:c r="F28" s="29" t="str">
        <x:v>Actualidad</x:v>
      </x:c>
      <x:c r="G28" s="29" t="str">
        <x:v>Jornadas &amp; Congresos</x:v>
      </x:c>
      <x:c r="H28" s="29" t="str">
        <x:v>Etiquetado</x:v>
      </x:c>
      <x:c r="I28" s="29" t="str">
        <x:v>Conservar la crónica; no copiar sus datos a otro recurso</x:v>
      </x:c>
      <x:c r="J28" s="29" t="str">
        <x:v>Revisar vínculo</x:v>
      </x:c>
      <x:c r="K28" s="29" t="str">
        <x:v>Vincular a Evento únicamente si la agenda confirma que es la misma actividad</x:v>
      </x:c>
      <x:c r="L28" s="29" t="str">
        <x:v>https://marcelabasterra.com.ar/transferencia-de-la-justicia-penal-ordinaria-en-el-proceso-de-autonomia-de-la-caba-feria-del-libro-2017/</x:v>
      </x:c>
      <x:c r="M28" s="29" t="str">
        <x:v>La fecha corresponde a la publicación; validar la fecha real del evento</x:v>
      </x:c>
      <x:c r="N28" s="29" t="str">
        <x:f>IF(COUNTIF($B$6:$B$51,B28)&gt;1,"Título repetido","")</x:f>
      </x:c>
    </x:row>
    <x:row r="29" ht="54" customHeight="1">
      <x:c r="A29" s="34" t="str">
        <x:v>WP-3117</x:v>
      </x:c>
      <x:c r="B29" s="29" t="str">
        <x:v>conferencia sobre derechos de género y protección de las mujeres con expositores internacionales feria internacional del libro</x:v>
      </x:c>
      <x:c r="C29" s="30" t="n">
        <x:v>42858.96958333333</x:v>
      </x:c>
      <x:c r="D29" s="29" t="str">
        <x:v>WordPress legacy</x:v>
      </x:c>
      <x:c r="E29" s="29" t="str">
        <x:v>Actualidad</x:v>
      </x:c>
      <x:c r="F29" s="29" t="str">
        <x:v>Actualidad</x:v>
      </x:c>
      <x:c r="G29" s="29" t="str">
        <x:v>Jornadas &amp; Congresos</x:v>
      </x:c>
      <x:c r="H29" s="29" t="str">
        <x:v>Etiquetado</x:v>
      </x:c>
      <x:c r="I29" s="29" t="str">
        <x:v>Conservar la crónica; no copiar sus datos a otro recurso</x:v>
      </x:c>
      <x:c r="J29" s="29" t="str">
        <x:v>Revisar vínculo</x:v>
      </x:c>
      <x:c r="K29" s="29" t="str">
        <x:v>Vincular a Evento únicamente si la agenda confirma que es la misma actividad</x:v>
      </x:c>
      <x:c r="L29" s="29" t="str">
        <x:v>https://marcelabasterra.com.ar/conferencia-sobre-derechos-de-genero-y-proteccion-de-las-mujeres-con-expositores-internacionales-feria-internacional-del-libro/</x:v>
      </x:c>
      <x:c r="M29" s="29" t="str">
        <x:v>La fecha corresponde a la publicación; validar la fecha real del evento</x:v>
      </x:c>
      <x:c r="N29" s="29" t="str">
        <x:f>IF(COUNTIF($B$6:$B$51,B29)&gt;1,"Título repetido","")</x:f>
      </x:c>
    </x:row>
    <x:row r="30" ht="54" customHeight="1">
      <x:c r="A30" s="34" t="str">
        <x:v>WP-3079</x:v>
      </x:c>
      <x:c r="B30" s="29" t="str">
        <x:v>Feria Internacional del Libro de Buenos Aires 2017</x:v>
      </x:c>
      <x:c r="C30" s="30" t="n">
        <x:v>42854.10261574074</x:v>
      </x:c>
      <x:c r="D30" s="29" t="str">
        <x:v>WordPress legacy</x:v>
      </x:c>
      <x:c r="E30" s="29" t="str">
        <x:v>Actualidad</x:v>
      </x:c>
      <x:c r="F30" s="29" t="str">
        <x:v>Actualidad</x:v>
      </x:c>
      <x:c r="G30" s="29" t="str">
        <x:v>Jornadas &amp; Congresos</x:v>
      </x:c>
      <x:c r="H30" s="29" t="str">
        <x:v>Etiquetado</x:v>
      </x:c>
      <x:c r="I30" s="29" t="str">
        <x:v>Conservar la crónica; no copiar sus datos a otro recurso</x:v>
      </x:c>
      <x:c r="J30" s="29" t="str">
        <x:v>Revisar vínculo</x:v>
      </x:c>
      <x:c r="K30" s="29" t="str">
        <x:v>Vincular a Evento únicamente si la agenda confirma que es la misma actividad</x:v>
      </x:c>
      <x:c r="L30" s="29" t="str">
        <x:v>https://marcelabasterra.com.ar/feria-internacional-del-libro-de-buenos-aires-2017/</x:v>
      </x:c>
      <x:c r="M30" s="29" t="str">
        <x:v>La fecha corresponde a la publicación; validar la fecha real del evento</x:v>
      </x:c>
      <x:c r="N30" s="29" t="str">
        <x:f>IF(COUNTIF($B$6:$B$51,B30)&gt;1,"Título repetido","")</x:f>
      </x:c>
    </x:row>
    <x:row r="31" ht="54" customHeight="1">
      <x:c r="A31" s="34" t="str">
        <x:v>WP-2941</x:v>
      </x:c>
      <x:c r="B31" s="29" t="str">
        <x:v>Perspectiva de Género en el Consejo de la Magistratura</x:v>
      </x:c>
      <x:c r="C31" s="30" t="n">
        <x:v>42809.81332175926</x:v>
      </x:c>
      <x:c r="D31" s="29" t="str">
        <x:v>WordPress legacy</x:v>
      </x:c>
      <x:c r="E31" s="29" t="str">
        <x:v>Actualidad</x:v>
      </x:c>
      <x:c r="F31" s="29" t="str">
        <x:v>Actualidad</x:v>
      </x:c>
      <x:c r="G31" s="29" t="str">
        <x:v>Jornadas &amp; Congresos</x:v>
      </x:c>
      <x:c r="H31" s="29" t="str">
        <x:v>Etiquetado</x:v>
      </x:c>
      <x:c r="I31" s="29" t="str">
        <x:v>Conservar la crónica; no copiar sus datos a otro recurso</x:v>
      </x:c>
      <x:c r="J31" s="29" t="str">
        <x:v>No</x:v>
      </x:c>
      <x:c r="K31" s="29" t="str">
        <x:v>Vincular a Evento únicamente si la agenda confirma que es la misma actividad</x:v>
      </x:c>
      <x:c r="L31" s="29" t="str">
        <x:v>https://marcelabasterra.com.ar/perspectiva-de-genero-en-el-consejo-de-la-magistratura/</x:v>
      </x:c>
      <x:c r="M31" s="29" t="str">
        <x:v>La fecha corresponde a la publicación; validar la fecha real del evento</x:v>
      </x:c>
      <x:c r="N31" s="29" t="str">
        <x:f>IF(COUNTIF($B$6:$B$51,B31)&gt;1,"Título repetido","")</x:f>
      </x:c>
    </x:row>
    <x:row r="32" ht="54" customHeight="1">
      <x:c r="A32" s="34" t="str">
        <x:v>WP-2531</x:v>
      </x:c>
      <x:c r="B32" s="29" t="str">
        <x:v>Jornada sobre Justicia y Comunicación</x:v>
      </x:c>
      <x:c r="C32" s="30" t="n">
        <x:v>42695.73587962963</x:v>
      </x:c>
      <x:c r="D32" s="29" t="str">
        <x:v>WordPress legacy</x:v>
      </x:c>
      <x:c r="E32" s="29" t="str">
        <x:v>Actualidad</x:v>
      </x:c>
      <x:c r="F32" s="29" t="str">
        <x:v>Actualidad</x:v>
      </x:c>
      <x:c r="G32" s="29" t="str">
        <x:v>Jornadas &amp; Congresos</x:v>
      </x:c>
      <x:c r="H32" s="29" t="str">
        <x:v>Etiquetado</x:v>
      </x:c>
      <x:c r="I32" s="29" t="str">
        <x:v>Conservar la crónica; no copiar sus datos a otro recurso</x:v>
      </x:c>
      <x:c r="J32" s="29" t="str">
        <x:v>Revisar vínculo</x:v>
      </x:c>
      <x:c r="K32" s="29" t="str">
        <x:v>Vincular a Evento únicamente si la agenda confirma que es la misma actividad</x:v>
      </x:c>
      <x:c r="L32" s="29" t="str">
        <x:v>https://marcelabasterra.com.ar/jornada-sobre-justicia-y-comunicacion/</x:v>
      </x:c>
      <x:c r="M32" s="29" t="str">
        <x:v>La fecha corresponde a la publicación; validar la fecha real del evento</x:v>
      </x:c>
      <x:c r="N32" s="29" t="str">
        <x:f>IF(COUNTIF($B$6:$B$51,B32)&gt;1,"Título repetido","")</x:f>
      </x:c>
    </x:row>
    <x:row r="33" ht="54" customHeight="1">
      <x:c r="A33" s="34" t="str">
        <x:v>WP-2519</x:v>
      </x:c>
      <x:c r="B33" s="29" t="str">
        <x:v>Jornadas sobre Segundo Plan Estratégico de Tierra del Fuego</x:v>
      </x:c>
      <x:c r="C33" s="30" t="n">
        <x:v>42689.84197916667</x:v>
      </x:c>
      <x:c r="D33" s="29" t="str">
        <x:v>WordPress legacy</x:v>
      </x:c>
      <x:c r="E33" s="29" t="str">
        <x:v>Actualidad</x:v>
      </x:c>
      <x:c r="F33" s="29" t="str">
        <x:v>Actualidad</x:v>
      </x:c>
      <x:c r="G33" s="29" t="str">
        <x:v>Jornadas &amp; Congresos</x:v>
      </x:c>
      <x:c r="H33" s="29" t="str">
        <x:v>Etiquetado</x:v>
      </x:c>
      <x:c r="I33" s="29" t="str">
        <x:v>Conservar la crónica; no copiar sus datos a otro recurso</x:v>
      </x:c>
      <x:c r="J33" s="29" t="str">
        <x:v>Revisar vínculo</x:v>
      </x:c>
      <x:c r="K33" s="29" t="str">
        <x:v>Vincular a Evento únicamente si la agenda confirma que es la misma actividad</x:v>
      </x:c>
      <x:c r="L33" s="29" t="str">
        <x:v>https://marcelabasterra.com.ar/jornadas-sobre-segundo-plan-estrategico-de-tierra-del-fuego/</x:v>
      </x:c>
      <x:c r="M33" s="29" t="str">
        <x:v>La fecha corresponde a la publicación; validar la fecha real del evento</x:v>
      </x:c>
      <x:c r="N33" s="29" t="str">
        <x:f>IF(COUNTIF($B$6:$B$51,B33)&gt;1,"Título repetido","")</x:f>
      </x:c>
    </x:row>
    <x:row r="34" ht="54" customHeight="1">
      <x:c r="A34" s="34" t="str">
        <x:v>WP-1797</x:v>
      </x:c>
      <x:c r="B34" s="29" t="str">
        <x:v>Presentación de nueva Ley de acceso a la información pública</x:v>
      </x:c>
      <x:c r="C34" s="30" t="n">
        <x:v>42654.91568287037</x:v>
      </x:c>
      <x:c r="D34" s="29" t="str">
        <x:v>WordPress legacy</x:v>
      </x:c>
      <x:c r="E34" s="29" t="str">
        <x:v>Actualidad</x:v>
      </x:c>
      <x:c r="F34" s="29" t="str">
        <x:v>Actualidad</x:v>
      </x:c>
      <x:c r="G34" s="29" t="str">
        <x:v>Jornadas &amp; Congresos</x:v>
      </x:c>
      <x:c r="H34" s="29" t="str">
        <x:v>Etiquetado</x:v>
      </x:c>
      <x:c r="I34" s="29" t="str">
        <x:v>Conservar la crónica; no copiar sus datos a otro recurso</x:v>
      </x:c>
      <x:c r="J34" s="29" t="str">
        <x:v>Revisar vínculo</x:v>
      </x:c>
      <x:c r="K34" s="29" t="str">
        <x:v>Vincular a Evento únicamente si la agenda confirma que es la misma actividad</x:v>
      </x:c>
      <x:c r="L34" s="29" t="str">
        <x:v>https://marcelabasterra.com.ar/presentacion-de-nueva-ley-de-acceso-a-la-informacion-publica/</x:v>
      </x:c>
      <x:c r="M34" s="29" t="str">
        <x:v>La fecha corresponde a la publicación; validar la fecha real del evento</x:v>
      </x:c>
      <x:c r="N34" s="29" t="str">
        <x:f>IF(COUNTIF($B$6:$B$51,B34)&gt;1,"Título repetido","")</x:f>
      </x:c>
    </x:row>
    <x:row r="35" ht="54" customHeight="1">
      <x:c r="A35" s="34" t="str">
        <x:v>WP-1711</x:v>
      </x:c>
      <x:c r="B35" s="29" t="str">
        <x:v>A 20 años de la Constitución CABA. Jornadas de reflexión en la Legislatura porteña</x:v>
      </x:c>
      <x:c r="C35" s="30" t="n">
        <x:v>42646.80788194444</x:v>
      </x:c>
      <x:c r="D35" s="29" t="str">
        <x:v>WordPress legacy</x:v>
      </x:c>
      <x:c r="E35" s="29" t="str">
        <x:v>Actualidad</x:v>
      </x:c>
      <x:c r="F35" s="29" t="str">
        <x:v>Actualidad</x:v>
      </x:c>
      <x:c r="G35" s="29" t="str">
        <x:v>Jornadas &amp; Congresos</x:v>
      </x:c>
      <x:c r="H35" s="29" t="str">
        <x:v>Etiquetado</x:v>
      </x:c>
      <x:c r="I35" s="29" t="str">
        <x:v>Conservar la crónica; no copiar sus datos a otro recurso</x:v>
      </x:c>
      <x:c r="J35" s="29" t="str">
        <x:v>Revisar vínculo</x:v>
      </x:c>
      <x:c r="K35" s="29" t="str">
        <x:v>Vincular a Evento únicamente si la agenda confirma que es la misma actividad</x:v>
      </x:c>
      <x:c r="L35" s="29" t="str">
        <x:v>https://marcelabasterra.com.ar/a-20-anos-de-la-constitucion-caba-jornadas-de-reflexion-en-la-legislatura-portena/</x:v>
      </x:c>
      <x:c r="M35" s="29" t="str">
        <x:v>La fecha corresponde a la publicación; validar la fecha real del evento</x:v>
      </x:c>
      <x:c r="N35" s="29" t="str">
        <x:f>IF(COUNTIF($B$6:$B$51,B35)&gt;1,"Título repetido","")</x:f>
      </x:c>
    </x:row>
    <x:row r="36" ht="54" customHeight="1">
      <x:c r="A36" s="34" t="str">
        <x:v>WP-1474</x:v>
      </x:c>
      <x:c r="B36" s="29" t="str">
        <x:v>A 20 años de la Constitución de la Ciudad Autónoma de Buenos Aires. Una mirada académica y sus protagonistas</x:v>
      </x:c>
      <x:c r="C36" s="30" t="n">
        <x:v>42591.007881944446</x:v>
      </x:c>
      <x:c r="D36" s="29" t="str">
        <x:v>WordPress legacy</x:v>
      </x:c>
      <x:c r="E36" s="29" t="str">
        <x:v>Actualidad</x:v>
      </x:c>
      <x:c r="F36" s="29" t="str">
        <x:v>Actualidad</x:v>
      </x:c>
      <x:c r="G36" s="29" t="str">
        <x:v>Jornadas &amp; Congresos</x:v>
      </x:c>
      <x:c r="H36" s="29" t="str">
        <x:v>Etiquetado</x:v>
      </x:c>
      <x:c r="I36" s="29" t="str">
        <x:v>Conservar la crónica; no copiar sus datos a otro recurso</x:v>
      </x:c>
      <x:c r="J36" s="29" t="str">
        <x:v>No</x:v>
      </x:c>
      <x:c r="K36" s="29" t="str">
        <x:v>Vincular a Evento únicamente si la agenda confirma que es la misma actividad</x:v>
      </x:c>
      <x:c r="L36" s="29" t="str">
        <x:v>https://marcelabasterra.com.ar/a-20-anos-de-la-constitucion-de-la-ciudad-autonoma-de-buenos-aires-2/</x:v>
      </x:c>
      <x:c r="M36" s="29" t="str">
        <x:v>La fecha corresponde a la publicación; validar la fecha real del evento</x:v>
      </x:c>
      <x:c r="N36" s="29" t="str">
        <x:f>IF(COUNTIF($B$6:$B$51,B36)&gt;1,"Título repetido","")</x:f>
      </x:c>
    </x:row>
    <x:row r="37" ht="54" customHeight="1">
      <x:c r="A37" s="34" t="str">
        <x:v>WP-1383</x:v>
      </x:c>
      <x:c r="B37" s="29" t="str">
        <x:v>Empezó la 26° Feria del Libro Infantil</x:v>
      </x:c>
      <x:c r="C37" s="30" t="n">
        <x:v>42563.95915509259</x:v>
      </x:c>
      <x:c r="D37" s="29" t="str">
        <x:v>WordPress legacy</x:v>
      </x:c>
      <x:c r="E37" s="29" t="str">
        <x:v>Actualidad</x:v>
      </x:c>
      <x:c r="F37" s="29" t="str">
        <x:v>Actualidad</x:v>
      </x:c>
      <x:c r="G37" s="29" t="str">
        <x:v>Jornadas &amp; Congresos</x:v>
      </x:c>
      <x:c r="H37" s="29" t="str">
        <x:v>Etiquetado</x:v>
      </x:c>
      <x:c r="I37" s="29" t="str">
        <x:v>Conservar la crónica; no copiar sus datos a otro recurso</x:v>
      </x:c>
      <x:c r="J37" s="29" t="str">
        <x:v>Revisar vínculo</x:v>
      </x:c>
      <x:c r="K37" s="29" t="str">
        <x:v>Vincular a Evento únicamente si la agenda confirma que es la misma actividad</x:v>
      </x:c>
      <x:c r="L37" s="29" t="str">
        <x:v>https://marcelabasterra.com.ar/empezo-la-26-feria-del-libro-infantil/</x:v>
      </x:c>
      <x:c r="M37" s="29" t="str">
        <x:v>La fecha corresponde a la publicación; validar la fecha real del evento</x:v>
      </x:c>
      <x:c r="N37" s="29" t="str">
        <x:f>IF(COUNTIF($B$6:$B$51,B37)&gt;1,"Título repetido","")</x:f>
      </x:c>
    </x:row>
    <x:row r="38" ht="54" customHeight="1">
      <x:c r="A38" s="34" t="str">
        <x:v>WP-995</x:v>
      </x:c>
      <x:c r="B38" s="29" t="str">
        <x:v>Conmemoración a 20 años de la sanción de la Constitución porteña</x:v>
      </x:c>
      <x:c r="C38" s="30" t="n">
        <x:v>42532.097407407404</x:v>
      </x:c>
      <x:c r="D38" s="29" t="str">
        <x:v>WordPress legacy</x:v>
      </x:c>
      <x:c r="E38" s="29" t="str">
        <x:v>Actualidad</x:v>
      </x:c>
      <x:c r="F38" s="29" t="str">
        <x:v>Actualidad</x:v>
      </x:c>
      <x:c r="G38" s="29" t="str">
        <x:v>Jornadas &amp; Congresos</x:v>
      </x:c>
      <x:c r="H38" s="29" t="str">
        <x:v>Etiquetado</x:v>
      </x:c>
      <x:c r="I38" s="29" t="str">
        <x:v>Conservar la crónica; no copiar sus datos a otro recurso</x:v>
      </x:c>
      <x:c r="J38" s="29" t="str">
        <x:v>No</x:v>
      </x:c>
      <x:c r="K38" s="29" t="str">
        <x:v>Vincular a Evento únicamente si la agenda confirma que es la misma actividad</x:v>
      </x:c>
      <x:c r="L38" s="29" t="str">
        <x:v>https://marcelabasterra.com.ar/conmemoracion-a-20-anos-de-la-sancion-de-la-constitucion-portena/</x:v>
      </x:c>
      <x:c r="M38" s="29" t="str">
        <x:v>La fecha corresponde a la publicación; validar la fecha real del evento</x:v>
      </x:c>
      <x:c r="N38" s="29" t="str">
        <x:f>IF(COUNTIF($B$6:$B$51,B38)&gt;1,"Título repetido","")</x:f>
      </x:c>
    </x:row>
    <x:row r="39" ht="54" customHeight="1">
      <x:c r="A39" s="34" t="str">
        <x:v>WP-1026</x:v>
      </x:c>
      <x:c r="B39" s="29" t="str">
        <x:v>Sobre Acceso a la Justicia en la 42ª Feria Internacional del Libro de Buenos Aires</x:v>
      </x:c>
      <x:c r="C39" s="30" t="n">
        <x:v>42500.12287037037</x:v>
      </x:c>
      <x:c r="D39" s="29" t="str">
        <x:v>WordPress legacy</x:v>
      </x:c>
      <x:c r="E39" s="29" t="str">
        <x:v>Actualidad</x:v>
      </x:c>
      <x:c r="F39" s="29" t="str">
        <x:v>Actualidad</x:v>
      </x:c>
      <x:c r="G39" s="29" t="str">
        <x:v>Jornadas &amp; Congresos</x:v>
      </x:c>
      <x:c r="H39" s="29" t="str">
        <x:v>Etiquetado</x:v>
      </x:c>
      <x:c r="I39" s="29" t="str">
        <x:v>Conservar la crónica; no copiar sus datos a otro recurso</x:v>
      </x:c>
      <x:c r="J39" s="29" t="str">
        <x:v>Revisar vínculo</x:v>
      </x:c>
      <x:c r="K39" s="29" t="str">
        <x:v>Vincular a Evento únicamente si la agenda confirma que es la misma actividad</x:v>
      </x:c>
      <x:c r="L39" s="29" t="str">
        <x:v>https://marcelabasterra.com.ar/sobre-acceso-a-la-justicia-en-la-42a-feria-internacional-del-libro-de-buenos-aires/</x:v>
      </x:c>
      <x:c r="M39" s="29" t="str">
        <x:v>La fecha corresponde a la publicación; validar la fecha real del evento</x:v>
      </x:c>
      <x:c r="N39" s="29" t="str">
        <x:f>IF(COUNTIF($B$6:$B$51,B39)&gt;1,"Título repetido","")</x:f>
      </x:c>
    </x:row>
    <x:row r="40" ht="54" customHeight="1">
      <x:c r="A40" s="34" t="str">
        <x:v>WP-1035</x:v>
      </x:c>
      <x:c r="B40" s="29" t="str">
        <x:v>Es hora de conseguir los consensos para la Ley de Acceso a la Información</x:v>
      </x:c>
      <x:c r="C40" s="30" t="n">
        <x:v>42479.133877314816</x:v>
      </x:c>
      <x:c r="D40" s="29" t="str">
        <x:v>WordPress legacy</x:v>
      </x:c>
      <x:c r="E40" s="29" t="str">
        <x:v>Actualidad</x:v>
      </x:c>
      <x:c r="F40" s="29" t="str">
        <x:v>Actualidad</x:v>
      </x:c>
      <x:c r="G40" s="29" t="str">
        <x:v>Jornadas &amp; Congresos</x:v>
      </x:c>
      <x:c r="H40" s="29" t="str">
        <x:v>Etiquetado</x:v>
      </x:c>
      <x:c r="I40" s="29" t="str">
        <x:v>Conservar la crónica; no copiar sus datos a otro recurso</x:v>
      </x:c>
      <x:c r="J40" s="29" t="str">
        <x:v>No</x:v>
      </x:c>
      <x:c r="K40" s="29" t="str">
        <x:v>Vincular a Evento únicamente si la agenda confirma que es la misma actividad</x:v>
      </x:c>
      <x:c r="L40" s="29" t="str">
        <x:v>https://marcelabasterra.com.ar/es-hora-de-conseguir-los-consensos-para-la-ley-de-acceso-a-la-informacion/</x:v>
      </x:c>
      <x:c r="M40" s="29" t="str">
        <x:v>La fecha corresponde a la publicación; validar la fecha real del evento</x:v>
      </x:c>
      <x:c r="N40" s="29" t="str">
        <x:f>IF(COUNTIF($B$6:$B$51,B40)&gt;1,"Título repetido","")</x:f>
      </x:c>
    </x:row>
    <x:row r="41" ht="54" customHeight="1">
      <x:c r="A41" s="34" t="str">
        <x:v>WP-1042</x:v>
      </x:c>
      <x:c r="B41" s="29" t="str">
        <x:v>Nuevo paradigma sobre la responsabilidad del Estado</x:v>
      </x:c>
      <x:c r="C41" s="30" t="n">
        <x:v>42220.14003472222</x:v>
      </x:c>
      <x:c r="D41" s="29" t="str">
        <x:v>WordPress legacy</x:v>
      </x:c>
      <x:c r="E41" s="29" t="str">
        <x:v>Actualidad</x:v>
      </x:c>
      <x:c r="F41" s="29" t="str">
        <x:v>Actualidad</x:v>
      </x:c>
      <x:c r="G41" s="29" t="str">
        <x:v>Jornadas &amp; Congresos</x:v>
      </x:c>
      <x:c r="H41" s="29" t="str">
        <x:v>Etiquetado</x:v>
      </x:c>
      <x:c r="I41" s="29" t="str">
        <x:v>Conservar la crónica; no copiar sus datos a otro recurso</x:v>
      </x:c>
      <x:c r="J41" s="29" t="str">
        <x:v>No</x:v>
      </x:c>
      <x:c r="K41" s="29" t="str">
        <x:v>Vincular a Evento únicamente si la agenda confirma que es la misma actividad</x:v>
      </x:c>
      <x:c r="L41" s="29" t="str">
        <x:v>https://marcelabasterra.com.ar/nuevo-paradigma-sobre-la-responsabilidad-del-estado/</x:v>
      </x:c>
      <x:c r="M41" s="29" t="str">
        <x:v>La fecha corresponde a la publicación; validar la fecha real del evento</x:v>
      </x:c>
      <x:c r="N41" s="29" t="str">
        <x:f>IF(COUNTIF($B$6:$B$51,B41)&gt;1,"Título repetido","")</x:f>
      </x:c>
    </x:row>
    <x:row r="42" ht="54" customHeight="1">
      <x:c r="A42" s="34" t="str">
        <x:v>WP-1055</x:v>
      </x:c>
      <x:c r="B42" s="29" t="str">
        <x:v>Seminarios UBA: Derechos Humanos y Justicia Constitucional</x:v>
      </x:c>
      <x:c r="C42" s="30" t="n">
        <x:v>42219.23688657407</x:v>
      </x:c>
      <x:c r="D42" s="29" t="str">
        <x:v>WordPress legacy</x:v>
      </x:c>
      <x:c r="E42" s="29" t="str">
        <x:v>Actualidad</x:v>
      </x:c>
      <x:c r="F42" s="29" t="str">
        <x:v>Actualidad</x:v>
      </x:c>
      <x:c r="G42" s="29" t="str">
        <x:v>Jornadas &amp; Congresos</x:v>
      </x:c>
      <x:c r="H42" s="29" t="str">
        <x:v>Etiquetado</x:v>
      </x:c>
      <x:c r="I42" s="29" t="str">
        <x:v>Conservar la crónica; no copiar sus datos a otro recurso</x:v>
      </x:c>
      <x:c r="J42" s="29" t="str">
        <x:v>Revisar vínculo</x:v>
      </x:c>
      <x:c r="K42" s="29" t="str">
        <x:v>Vincular a Evento únicamente si la agenda confirma que es la misma actividad</x:v>
      </x:c>
      <x:c r="L42" s="29" t="str">
        <x:v>https://marcelabasterra.com.ar/seminarios-uba-derechos-humanos-y-justicia-constitucional/</x:v>
      </x:c>
      <x:c r="M42" s="29" t="str">
        <x:v>La fecha corresponde a la publicación; validar la fecha real del evento</x:v>
      </x:c>
      <x:c r="N42" s="29" t="str">
        <x:f>IF(COUNTIF($B$6:$B$51,B42)&gt;1,"Título repetido","")</x:f>
      </x:c>
    </x:row>
    <x:row r="43" ht="54" customHeight="1">
      <x:c r="A43" s="34" t="str">
        <x:v>WP-1048</x:v>
      </x:c>
      <x:c r="B43" s="29" t="str">
        <x:v>La Responsabilidad del Estado en el contexto de la “democratización” de la Justicia</x:v>
      </x:c>
      <x:c r="C43" s="30" t="n">
        <x:v>42177.22587962963</x:v>
      </x:c>
      <x:c r="D43" s="29" t="str">
        <x:v>WordPress legacy</x:v>
      </x:c>
      <x:c r="E43" s="29" t="str">
        <x:v>Actualidad</x:v>
      </x:c>
      <x:c r="F43" s="29" t="str">
        <x:v>Actualidad</x:v>
      </x:c>
      <x:c r="G43" s="29" t="str">
        <x:v>Jornadas &amp; Congresos</x:v>
      </x:c>
      <x:c r="H43" s="29" t="str">
        <x:v>Etiquetado</x:v>
      </x:c>
      <x:c r="I43" s="29" t="str">
        <x:v>Conservar la crónica; no copiar sus datos a otro recurso</x:v>
      </x:c>
      <x:c r="J43" s="29" t="str">
        <x:v>No</x:v>
      </x:c>
      <x:c r="K43" s="29" t="str">
        <x:v>Vincular a Evento únicamente si la agenda confirma que es la misma actividad</x:v>
      </x:c>
      <x:c r="L43" s="29" t="str">
        <x:v>https://marcelabasterra.com.ar/la-responsabilidad-del-estado-en-el-contexto-de-la-democratizacion-de-la-justicia/</x:v>
      </x:c>
      <x:c r="M43" s="29" t="str">
        <x:v>La fecha corresponde a la publicación; validar la fecha real del evento</x:v>
      </x:c>
      <x:c r="N43" s="29" t="str">
        <x:f>IF(COUNTIF($B$6:$B$51,B43)&gt;1,"Título repetido","")</x:f>
      </x:c>
    </x:row>
    <x:row r="44" ht="54" customHeight="1">
      <x:c r="A44" s="34" t="str">
        <x:v>WP-1062</x:v>
      </x:c>
      <x:c r="B44" s="29" t="str">
        <x:v>I Observatorio Interamericano de Derechos Humanos. La protección de los derechos humanos. Un diálogo entre América y Europa</x:v>
      </x:c>
      <x:c r="C44" s="30" t="n">
        <x:v>42137.24506944444</x:v>
      </x:c>
      <x:c r="D44" s="29" t="str">
        <x:v>WordPress legacy</x:v>
      </x:c>
      <x:c r="E44" s="29" t="str">
        <x:v>Actualidad</x:v>
      </x:c>
      <x:c r="F44" s="29" t="str">
        <x:v>Actualidad</x:v>
      </x:c>
      <x:c r="G44" s="29" t="str">
        <x:v>Jornadas &amp; Congresos</x:v>
      </x:c>
      <x:c r="H44" s="29" t="str">
        <x:v>Etiquetado</x:v>
      </x:c>
      <x:c r="I44" s="29" t="str">
        <x:v>Conservar la crónica; no copiar sus datos a otro recurso</x:v>
      </x:c>
      <x:c r="J44" s="29" t="str">
        <x:v>No</x:v>
      </x:c>
      <x:c r="K44" s="29" t="str">
        <x:v>Vincular a Evento únicamente si la agenda confirma que es la misma actividad</x:v>
      </x:c>
      <x:c r="L44" s="29" t="str">
        <x:v>https://marcelabasterra.com.ar/i-observatorio-interamericano-de-derechos-humanos-la-proteccion-de-los-derechos-humanos-un-dialogo-entre-america-y-europa/</x:v>
      </x:c>
      <x:c r="M44" s="29" t="str">
        <x:v>La fecha corresponde a la publicación; validar la fecha real del evento</x:v>
      </x:c>
      <x:c r="N44" s="29" t="str">
        <x:f>IF(COUNTIF($B$6:$B$51,B44)&gt;1,"Título repetido","")</x:f>
      </x:c>
    </x:row>
    <x:row r="45" ht="54" customHeight="1">
      <x:c r="A45" s="34" t="str">
        <x:v>WP-1071</x:v>
      </x:c>
      <x:c r="B45" s="29" t="str">
        <x:v>II Congreso Internacional y V Jornadas de Administración y Justicia</x:v>
      </x:c>
      <x:c r="C45" s="30" t="n">
        <x:v>42109.25405092593</x:v>
      </x:c>
      <x:c r="D45" s="29" t="str">
        <x:v>WordPress legacy</x:v>
      </x:c>
      <x:c r="E45" s="29" t="str">
        <x:v>Actualidad</x:v>
      </x:c>
      <x:c r="F45" s="29" t="str">
        <x:v>Actualidad</x:v>
      </x:c>
      <x:c r="G45" s="29" t="str">
        <x:v>Jornadas &amp; Congresos</x:v>
      </x:c>
      <x:c r="H45" s="29" t="str">
        <x:v>Etiquetado</x:v>
      </x:c>
      <x:c r="I45" s="29" t="str">
        <x:v>Conservar la crónica; no copiar sus datos a otro recurso</x:v>
      </x:c>
      <x:c r="J45" s="29" t="str">
        <x:v>Revisar vínculo</x:v>
      </x:c>
      <x:c r="K45" s="29" t="str">
        <x:v>Vincular a Evento únicamente si la agenda confirma que es la misma actividad</x:v>
      </x:c>
      <x:c r="L45" s="29" t="str">
        <x:v>https://marcelabasterra.com.ar/ii-congreso-internacional-y-v-jornadas-de-administracion-y-justicia/</x:v>
      </x:c>
      <x:c r="M45" s="29" t="str">
        <x:v>La fecha corresponde a la publicación; validar la fecha real del evento</x:v>
      </x:c>
      <x:c r="N45" s="29" t="str">
        <x:f>IF(COUNTIF($B$6:$B$51,B45)&gt;1,"Título repetido","")</x:f>
      </x:c>
    </x:row>
    <x:row r="46" ht="54" customHeight="1">
      <x:c r="A46" s="34" t="str">
        <x:v>CONF-5</x:v>
      </x:c>
      <x:c r="B46" s="29" t="str">
        <x:v>Comisión de Justicia</x:v>
      </x:c>
      <x:c r="C46" s="30" t="n">
        <x:v>44145.625</x:v>
      </x:c>
      <x:c r="D46" s="29" t="str">
        <x:v>CMS actual</x:v>
      </x:c>
      <x:c r="E46" s="29" t="str">
        <x:v>Conferencia</x:v>
      </x:c>
      <x:c r="F46" s="29" t="str">
        <x:v>Conferencia</x:v>
      </x:c>
      <x:c r="G46" s="29" t="str">
        <x:v>exposicion · Senado Argentina</x:v>
      </x:c>
      <x:c r="H46" s="29" t="str">
        <x:v>Existe</x:v>
      </x:c>
      <x:c r="I46" s="29" t="str">
        <x:v>Conservar video/intervención; no replicar la crónica ni la ficha de Evento</x:v>
      </x:c>
      <x:c r="J46" s="29" t="str">
        <x:v>Revisar vínculo</x:v>
      </x:c>
      <x:c r="K46" s="29" t="str">
        <x:v>Vincular a Evento solo cuando exista fecha y actividad institucional verificadas</x:v>
      </x:c>
      <x:c r="L46" s="29" t="str">
        <x:v>https://www.youtube.com/watch?v=LnfLLvaGMRg</x:v>
      </x:c>
      <x:c r="M46" s="29" t="str">
        <x:v>Sin ubicación estructurada; no completar por inferencia</x:v>
      </x:c>
      <x:c r="N46" s="29" t="str">
        <x:f>IF(COUNTIF($B$6:$B$51,B46)&gt;1,"Título repetido","")</x:f>
      </x:c>
    </x:row>
    <x:row r="47" ht="54" customHeight="1">
      <x:c r="A47" s="34" t="str">
        <x:v>CONF-6</x:v>
      </x:c>
      <x:c r="B47" s="29" t="str">
        <x:v>Segundo encuentro internacional de mujeres constitucionalistas</x:v>
      </x:c>
      <x:c r="C47" s="30" t="n">
        <x:v>44084.625</x:v>
      </x:c>
      <x:c r="D47" s="29" t="str">
        <x:v>CMS actual</x:v>
      </x:c>
      <x:c r="E47" s="29" t="str">
        <x:v>Conferencia</x:v>
      </x:c>
      <x:c r="F47" s="29" t="str">
        <x:v>Conferencia</x:v>
      </x:c>
      <x:c r="G47" s="29" t="str">
        <x:v>conferencia · Facultad de Derecho UBA</x:v>
      </x:c>
      <x:c r="H47" s="29" t="str">
        <x:v>Existe</x:v>
      </x:c>
      <x:c r="I47" s="29" t="str">
        <x:v>Conservar video/intervención; no replicar la crónica ni la ficha de Evento</x:v>
      </x:c>
      <x:c r="J47" s="29" t="str">
        <x:v>Revisar vínculo</x:v>
      </x:c>
      <x:c r="K47" s="29" t="str">
        <x:v>Vincular a Evento solo cuando exista fecha y actividad institucional verificadas</x:v>
      </x:c>
      <x:c r="L47" s="29" t="str">
        <x:v>https://www.derecho.uba.ar/noticias/2020/segundo-encuentro-internacional-de-mujeres-constitucionalistas</x:v>
      </x:c>
      <x:c r="M47" s="29" t="str">
        <x:v>Sin ubicación estructurada; no completar por inferencia</x:v>
      </x:c>
      <x:c r="N47" s="29" t="str">
        <x:f>IF(COUNTIF($B$6:$B$51,B47)&gt;1,"Título repetido","")</x:f>
      </x:c>
    </x:row>
    <x:row r="48" ht="54" customHeight="1">
      <x:c r="A48" s="34" t="str">
        <x:v>CONF-1</x:v>
      </x:c>
      <x:c r="B48" s="29" t="str">
        <x:v>Ciclo “Diálogos y argumentación jurídica”: Fallo “Levinas”</x:v>
      </x:c>
      <x:c r="C48" s="30"/>
      <x:c r="D48" s="29" t="str">
        <x:v>CMS actual</x:v>
      </x:c>
      <x:c r="E48" s="29" t="str">
        <x:v>Conferencia</x:v>
      </x:c>
      <x:c r="F48" s="29" t="str">
        <x:v>Conferencia</x:v>
      </x:c>
      <x:c r="G48" s="29" t="str">
        <x:v>conferencia · Derecho UBA</x:v>
      </x:c>
      <x:c r="H48" s="29" t="str">
        <x:v>Existe</x:v>
      </x:c>
      <x:c r="I48" s="29" t="str">
        <x:v>Conservar video/intervención; no replicar la crónica ni la ficha de Evento</x:v>
      </x:c>
      <x:c r="J48" s="29" t="str">
        <x:v>No hasta validar</x:v>
      </x:c>
      <x:c r="K48" s="29" t="str">
        <x:v>Vincular a Evento solo cuando exista fecha y actividad institucional verificadas</x:v>
      </x:c>
      <x:c r="L48" s="29" t="str">
        <x:v>https://www.youtube.com/watch?v=1pJwGJJjtV4&amp;t=150s</x:v>
      </x:c>
      <x:c r="M48" s="29" t="str">
        <x:v>Sin ubicación estructurada; no completar por inferencia</x:v>
      </x:c>
      <x:c r="N48" s="29" t="str">
        <x:f>IF(COUNTIF($B$6:$B$51,B48)&gt;1,"Título repetido","")</x:f>
      </x:c>
    </x:row>
    <x:row r="49" ht="54" customHeight="1">
      <x:c r="A49" s="34" t="str">
        <x:v>CONF-2</x:v>
      </x:c>
      <x:c r="B49" s="29" t="str">
        <x:v>La Emergencia y el Derecho Constitucional</x:v>
      </x:c>
      <x:c r="C49" s="30"/>
      <x:c r="D49" s="29" t="str">
        <x:v>CMS actual</x:v>
      </x:c>
      <x:c r="E49" s="29" t="str">
        <x:v>Conferencia</x:v>
      </x:c>
      <x:c r="F49" s="29" t="str">
        <x:v>Conferencia</x:v>
      </x:c>
      <x:c r="G49" s="29" t="str">
        <x:v>conferencia · Facultad de Derecho UNMdP</x:v>
      </x:c>
      <x:c r="H49" s="29" t="str">
        <x:v>Existe</x:v>
      </x:c>
      <x:c r="I49" s="29" t="str">
        <x:v>Conservar video/intervención; no replicar la crónica ni la ficha de Evento</x:v>
      </x:c>
      <x:c r="J49" s="29" t="str">
        <x:v>No hasta validar</x:v>
      </x:c>
      <x:c r="K49" s="29" t="str">
        <x:v>Vincular a Evento solo cuando exista fecha y actividad institucional verificadas</x:v>
      </x:c>
      <x:c r="L49" s="29" t="str">
        <x:v>https://www.youtube.com/watch?v=Dwmrhu54AG0&amp;t=6474s</x:v>
      </x:c>
      <x:c r="M49" s="29" t="str">
        <x:v>Sin ubicación estructurada; no completar por inferencia</x:v>
      </x:c>
      <x:c r="N49" s="29" t="str">
        <x:f>IF(COUNTIF($B$6:$B$51,B49)&gt;1,"Título repetido","")</x:f>
      </x:c>
    </x:row>
    <x:row r="50" ht="54" customHeight="1">
      <x:c r="A50" s="34" t="str">
        <x:v>CONF-3</x:v>
      </x:c>
      <x:c r="B50" s="29" t="str">
        <x:v>Nuevos límites al derecho de acceso a la información pública</x:v>
      </x:c>
      <x:c r="C50" s="30"/>
      <x:c r="D50" s="29" t="str">
        <x:v>CMS actual</x:v>
      </x:c>
      <x:c r="E50" s="29" t="str">
        <x:v>Conferencia</x:v>
      </x:c>
      <x:c r="F50" s="29" t="str">
        <x:v>Conferencia</x:v>
      </x:c>
      <x:c r="G50" s="29" t="str">
        <x:v>exposicion · Derecho UBA</x:v>
      </x:c>
      <x:c r="H50" s="29" t="str">
        <x:v>Existe</x:v>
      </x:c>
      <x:c r="I50" s="29" t="str">
        <x:v>Conservar video/intervención; no replicar la crónica ni la ficha de Evento</x:v>
      </x:c>
      <x:c r="J50" s="29" t="str">
        <x:v>No hasta validar</x:v>
      </x:c>
      <x:c r="K50" s="29" t="str">
        <x:v>Vincular a Evento solo cuando exista fecha y actividad institucional verificadas</x:v>
      </x:c>
      <x:c r="L50" s="29" t="str">
        <x:v>https://www.youtube.com/watch?v=_HYQrDw6F_E</x:v>
      </x:c>
      <x:c r="M50" s="29" t="str">
        <x:v>Sin ubicación estructurada; no completar por inferencia</x:v>
      </x:c>
      <x:c r="N50" s="29" t="str">
        <x:f>IF(COUNTIF($B$6:$B$51,B50)&gt;1,"Título repetido","")</x:f>
      </x:c>
    </x:row>
    <x:row r="51" ht="54" customHeight="1">
      <x:c r="A51" s="35" t="str">
        <x:v>CONF-4</x:v>
      </x:c>
      <x:c r="B51" s="31" t="str">
        <x:v>Entrevista a Marcela Basterra sobre Derecho Constitucional</x:v>
      </x:c>
      <x:c r="C51" s="32"/>
      <x:c r="D51" s="31" t="str">
        <x:v>CMS actual</x:v>
      </x:c>
      <x:c r="E51" s="31" t="str">
        <x:v>Conferencia</x:v>
      </x:c>
      <x:c r="F51" s="31" t="str">
        <x:v>Conferencia</x:v>
      </x:c>
      <x:c r="G51" s="31" t="str">
        <x:v>entrevista · Vorterix Litoral</x:v>
      </x:c>
      <x:c r="H51" s="31" t="str">
        <x:v>Existe</x:v>
      </x:c>
      <x:c r="I51" s="31" t="str">
        <x:v>Conservar video/intervención; no replicar la crónica ni la ficha de Evento</x:v>
      </x:c>
      <x:c r="J51" s="31" t="str">
        <x:v>No hasta validar</x:v>
      </x:c>
      <x:c r="K51" s="31" t="str">
        <x:v>Vincular a Evento solo cuando exista fecha y actividad institucional verificadas</x:v>
      </x:c>
      <x:c r="L51" s="31" t="str">
        <x:v>https://www.youtube.com/watch?v=tKX1ku8boLw</x:v>
      </x:c>
      <x:c r="M51" s="31" t="str">
        <x:v>Sin ubicación estructurada; no completar por inferencia</x:v>
      </x:c>
      <x:c r="N51" s="31" t="str">
        <x:f>IF(COUNTIF($B$6:$B$51,B51)&gt;1,"Título repetido","")</x:f>
      </x:c>
    </x:row>
  </x:sheetData>
  <x:mergeCells>
    <x:mergeCell ref="A1:N1"/>
    <x:mergeCell ref="A2:N2"/>
  </x:mergeCells>
  <x:conditionalFormatting sqref="H6:H51">
    <x:cfRule type="containsText" dxfId="0" priority="1" operator="containsText" text="Corregir"/>
  </x:conditionalFormatting>
  <x:conditionalFormatting sqref="J6:J51">
    <x:cfRule type="containsText" dxfId="1" priority="2" operator="containsText" text="Revisar"/>
  </x:conditionalFormatting>
  <x:conditionalFormatting sqref="N6:N51">
    <x:cfRule type="containsText" dxfId="2" priority="3" operator="containsText" text="repetido"/>
  </x:conditionalFormatting>
  <x:dataValidations count="1">
    <x:dataValidation type="list" sqref="J6:J51">
      <x:formula1>"No,Revisar vínculo,No hasta validar"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553a0a398d45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8" hidden="0" customWidth="1"/>
    <x:col min="4" max="4" width="42" hidden="0" customWidth="1"/>
    <x:col min="5" max="5" width="38" hidden="0" customWidth="1"/>
    <x:col min="6" max="6" width="32" hidden="0" customWidth="1"/>
  </x:cols>
  <x:sheetData>
    <x:row r="1" ht="32" customHeight="1">
      <x:c r="A1" s="2" t="str">
        <x:v>Modelo canónico de contenido</x:v>
      </x:c>
      <x:c r="B1" s="2"/>
      <x:c r="C1" s="2"/>
      <x:c r="D1" s="2"/>
      <x:c r="E1" s="2"/>
      <x:c r="F1" s="2"/>
    </x:row>
    <x:row r="4" ht="34" customHeight="1">
      <x:c r="A4" s="10" t="str">
        <x:v>Recurso</x:v>
      </x:c>
      <x:c r="B4" s="10" t="str">
        <x:v>Qué conserva</x:v>
      </x:c>
      <x:c r="C4" s="10" t="str">
        <x:v>Qué no debe repetir</x:v>
      </x:c>
      <x:c r="D4" s="10" t="str">
        <x:v>Relación propuesta</x:v>
      </x:c>
      <x:c r="E4" s="10" t="str">
        <x:v>Cuándo se crea</x:v>
      </x:c>
      <x:c r="F4" s="10" t="str">
        <x:v>Ejemplo</x:v>
      </x:c>
    </x:row>
    <x:row r="5" ht="72" customHeight="1">
      <x:c r="A5" s="115" t="str">
        <x:v>Evento</x:v>
      </x:c>
      <x:c r="B5" s="109" t="str">
        <x:v>Fecha, horario, lugar, ciudad, país, institución, rol, tipo, modalidad, inscripción y estado</x:v>
      </x:c>
      <x:c r="C5" s="109" t="str">
        <x:v>Crónica completa, galería, transcripción o video duplicado</x:v>
      </x:c>
      <x:c r="D5" s="109" t="str">
        <x:v>Es el padre canónico; Blog y Conferencia pueden apuntar con evento_id</x:v>
      </x:c>
      <x:c r="E5" s="109" t="str">
        <x:v>Solo para actividades verificadas que deban aparecer en Agenda</x:v>
      </x:c>
      <x:c r="F5" s="109" t="str">
        <x:v>Congreso con fecha y sede confirmadas</x:v>
      </x:c>
    </x:row>
    <x:row r="6" ht="72" customHeight="1">
      <x:c r="A6" s="116" t="str">
        <x:v>Actualidad / Blog</x:v>
      </x:c>
      <x:c r="B6" s="110" t="str">
        <x:v>Crónica editorial, contexto, citas, galería y documentos periodísticos</x:v>
      </x:c>
      <x:c r="C6" s="110" t="str">
        <x:v>Fecha/lugar/tipo ya definidos en Evento</x:v>
      </x:c>
      <x:c r="D6" s="110" t="str">
        <x:v>evento_id nullable; si existe, la interfaz lee metadatos desde Evento</x:v>
      </x:c>
      <x:c r="E6" s="110" t="str">
        <x:v>Cuando existe una noticia o crónica propia</x:v>
      </x:c>
      <x:c r="F6" s="110" t="str">
        <x:v>Nota posterior a una jornada</x:v>
      </x:c>
    </x:row>
    <x:row r="7" ht="72" customHeight="1">
      <x:c r="A7" s="116" t="str">
        <x:v>Conferencia</x:v>
      </x:c>
      <x:c r="B7" s="110" t="str">
        <x:v>Video, audio, título de la intervención, enlace externo y material audiovisual</x:v>
      </x:c>
      <x:c r="C7" s="110" t="str">
        <x:v>Ficha institucional completa del encuentro si ya existe Evento</x:v>
      </x:c>
      <x:c r="D7" s="110" t="str">
        <x:v>evento_id nullable; puede existir sola si no hay actividad verificable</x:v>
      </x:c>
      <x:c r="E7" s="110" t="str">
        <x:v>Cuando hay una intervención o pieza audiovisual reutilizable</x:v>
      </x:c>
      <x:c r="F7" s="110" t="str">
        <x:v>Video de una exposición</x:v>
      </x:c>
    </x:row>
    <x:row r="8" ht="72" customHeight="1">
      <x:c r="A8" s="117" t="str">
        <x:v>Página / Bloque</x:v>
      </x:c>
      <x:c r="B8" s="111" t="str">
        <x:v>Selección, filtros, orden y texto editorial de presentación</x:v>
      </x:c>
      <x:c r="C8" s="111" t="str">
        <x:v>Copias manuales de eventos, crónicas o conferencias</x:v>
      </x:c>
      <x:c r="D8" s="111" t="str">
        <x:v>Consulta los recursos canónicos; guarda IDs solo para selección editorial</x:v>
      </x:c>
      <x:c r="E8" s="111" t="str">
        <x:v>Cuando se necesita una composición de página</x:v>
      </x:c>
      <x:c r="F8" s="111" t="str">
        <x:v>Agenda y archivo unificados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e23dfa564141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42" hidden="0" customWidth="1"/>
    <x:col min="4" max="4" width="30" hidden="0" customWidth="1"/>
    <x:col min="5" max="5" width="36" hidden="0" customWidth="1"/>
    <x:col min="6" max="6" width="46" hidden="0" customWidth="1"/>
  </x:cols>
  <x:sheetData>
    <x:row r="1" ht="32" customHeight="1">
      <x:c r="A1" s="2" t="str">
        <x:v>Fuentes y cobertura</x:v>
      </x:c>
      <x:c r="B1" s="2"/>
      <x:c r="C1" s="2"/>
      <x:c r="D1" s="2"/>
      <x:c r="E1" s="2"/>
      <x:c r="F1" s="2"/>
    </x:row>
    <x:row r="4" ht="34" customHeight="1">
      <x:c r="A4" s="10" t="str">
        <x:v>Fuente</x:v>
      </x:c>
      <x:c r="B4" s="10" t="str">
        <x:v>Ubicación</x:v>
      </x:c>
      <x:c r="C4" s="10" t="str">
        <x:v>Cobertura</x:v>
      </x:c>
      <x:c r="D4" s="10" t="str">
        <x:v>Estado</x:v>
      </x:c>
      <x:c r="E4" s="10" t="str">
        <x:v>Uso</x:v>
      </x:c>
      <x:c r="F4" s="10" t="str">
        <x:v>Riesgo / control</x:v>
      </x:c>
    </x:row>
    <x:row r="5" ht="66" customHeight="1">
      <x:c r="A5" s="109" t="str">
        <x:v>Exportación WordPress local</x:v>
      </x:c>
      <x:c r="B5" s="109" t="str">
        <x:v>/media/leveloper/Proyectos/Dev/marcelabasterra/storage/app/imports/wordpress-posts.json</x:v>
      </x:c>
      <x:c r="C5" s="109" t="str">
        <x:v>165 publicaciones; 40 clasificadas como Jornadas &amp; Congresos</x:v>
      </x:c>
      <x:c r="D5" s="109" t="str">
        <x:v>Disponible</x:v>
      </x:c>
      <x:c r="E5" s="109" t="str">
        <x:v>Archivo histórico y control de taxonomía</x:v>
      </x:c>
      <x:c r="F5" s="109" t="str">
        <x:v>La fecha de publicación no siempre coincide con la fecha del evento</x:v>
      </x:c>
    </x:row>
    <x:row r="6" ht="66" customHeight="1">
      <x:c r="A6" s="110" t="str">
        <x:v>CMS local — Blog</x:v>
      </x:c>
      <x:c r="B6" s="110" t="str">
        <x:v>Base de datos local</x:v>
      </x:c>
      <x:c r="C6" s="110" t="str">
        <x:v>168 publicaciones actuales; 39 conservan la etiqueta de Jornadas</x:v>
      </x:c>
      <x:c r="D6" s="110" t="str">
        <x:v>Disponible</x:v>
      </x:c>
      <x:c r="E6" s="110" t="str">
        <x:v>Fuente operativa de Actualidad</x:v>
      </x:c>
      <x:c r="F6" s="110" t="str">
        <x:v>Una publicación multicategoría perdió la etiqueta Jornadas</x:v>
      </x:c>
    </x:row>
    <x:row r="7" ht="66" customHeight="1">
      <x:c r="A7" s="110" t="str">
        <x:v>CMS local — Conferencia</x:v>
      </x:c>
      <x:c r="B7" s="110" t="str">
        <x:v>Base de datos local</x:v>
      </x:c>
      <x:c r="C7" s="110" t="str">
        <x:v>6 conferencias; 2 con fecha</x:v>
      </x:c>
      <x:c r="D7" s="110" t="str">
        <x:v>Disponible</x:v>
      </x:c>
      <x:c r="E7" s="110" t="str">
        <x:v>Archivo audiovisual</x:v>
      </x:c>
      <x:c r="F7" s="110" t="str">
        <x:v>No convertir en Evento sin fecha e institución verificadas</x:v>
      </x:c>
    </x:row>
    <x:row r="8" ht="66" customHeight="1">
      <x:c r="A8" s="110" t="str">
        <x:v>Agenda pública legacy</x:v>
      </x:c>
      <x:c r="B8" s="110" t="str">
        <x:v>https://marcelabasterra.com.ar/category/presentaciones-home/</x:v>
      </x:c>
      <x:c r="C8" s="110" t="str">
        <x:v>Tarjetas históricas con fecha, horario, lugar, tipo y enlaces</x:v>
      </x:c>
      <x:c r="D8" s="110" t="str">
        <x:v>Pendiente de extracción controlada</x:v>
      </x:c>
      <x:c r="E8" s="110" t="str">
        <x:v>Candidatos para Evento realizado</x:v>
      </x:c>
      <x:c r="F8" s="110" t="str">
        <x:v>Mezcla jornadas, libros, cursos y otras actividades; deduplicar antes de importar</x:v>
      </x:c>
    </x:row>
    <x:row r="9" ht="66" customHeight="1">
      <x:c r="A9" s="111" t="str">
        <x:v>Archivo público legacy</x:v>
      </x:c>
      <x:c r="B9" s="111" t="str">
        <x:v>https://marcelabasterra.com.ar/category/jornadas-y-congresos/</x:v>
      </x:c>
      <x:c r="C9" s="111" t="str">
        <x:v>Crónicas de jornadas y congresos</x:v>
      </x:c>
      <x:c r="D9" s="111" t="str">
        <x:v>Cubierto por la exportación local</x:v>
      </x:c>
      <x:c r="E9" s="111" t="str">
        <x:v>Verificación visual y enlaces históricos</x:v>
      </x:c>
      <x:c r="F9" s="111" t="str">
        <x:v>No volver a importar como un segundo Blog</x:v>
      </x:c>
    </x:row>
  </x:sheetData>
  <x:mergeCells>
    <x:mergeCell ref="A1:F1"/>
  </x:mergeCells>
  <x:conditionalFormatting sqref="D5:D9">
    <x:cfRule type="containsText" dxfId="3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5ac185f4a7244bc4"/>
  </x:tableParts>
</x:worksheet>
</file>